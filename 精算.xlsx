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3035" tabRatio="758"/>
  </bookViews>
  <sheets>
    <sheet name="精算データ" sheetId="5" r:id="rId1"/>
    <sheet name="202012" sheetId="49" r:id="rId2"/>
    <sheet name="202011" sheetId="48" r:id="rId3"/>
    <sheet name="202010" sheetId="47" r:id="rId4"/>
    <sheet name="202009" sheetId="46" r:id="rId5"/>
    <sheet name="202008" sheetId="45" r:id="rId6"/>
    <sheet name="202007" sheetId="44" r:id="rId7"/>
    <sheet name="202006" sheetId="43" r:id="rId8"/>
    <sheet name="202005" sheetId="42" r:id="rId9"/>
    <sheet name="202004" sheetId="41" r:id="rId10"/>
    <sheet name="202003" sheetId="40" r:id="rId11"/>
    <sheet name="202002" sheetId="39" r:id="rId12"/>
    <sheet name="202001" sheetId="38" r:id="rId13"/>
    <sheet name="201912" sheetId="36" r:id="rId14"/>
    <sheet name="201911" sheetId="35" r:id="rId15"/>
    <sheet name="201910" sheetId="34" r:id="rId16"/>
    <sheet name="201909" sheetId="33" r:id="rId17"/>
    <sheet name="201908" sheetId="32" r:id="rId18"/>
    <sheet name="201906" sheetId="31" r:id="rId19"/>
    <sheet name="201905" sheetId="30" r:id="rId20"/>
    <sheet name="201904" sheetId="29" r:id="rId21"/>
    <sheet name="201903" sheetId="28" r:id="rId22"/>
    <sheet name="201902" sheetId="26" r:id="rId23"/>
    <sheet name="201901" sheetId="25" r:id="rId24"/>
    <sheet name="201812" sheetId="24" state="hidden" r:id="rId25"/>
    <sheet name="201811" sheetId="22" state="hidden" r:id="rId26"/>
    <sheet name="201810" sheetId="21" state="hidden" r:id="rId27"/>
    <sheet name="201809" sheetId="20" state="hidden" r:id="rId28"/>
    <sheet name="201808" sheetId="19" state="hidden" r:id="rId29"/>
    <sheet name="201807" sheetId="18" state="hidden" r:id="rId30"/>
    <sheet name="201806" sheetId="17" state="hidden" r:id="rId31"/>
    <sheet name="201805" sheetId="16" state="hidden" r:id="rId32"/>
    <sheet name="201804" sheetId="15" state="hidden" r:id="rId33"/>
    <sheet name="201803" sheetId="13" state="hidden" r:id="rId34"/>
    <sheet name="201802" sheetId="12" state="hidden" r:id="rId35"/>
    <sheet name="201801" sheetId="11" state="hidden" r:id="rId36"/>
    <sheet name="201712" sheetId="10" state="hidden" r:id="rId37"/>
    <sheet name="201711" sheetId="9" state="hidden" r:id="rId38"/>
    <sheet name="201710" sheetId="8" state="hidden" r:id="rId39"/>
    <sheet name="201709" sheetId="7" state="hidden" r:id="rId40"/>
    <sheet name="201708" sheetId="6" state="hidden" r:id="rId41"/>
    <sheet name="报销" sheetId="14" r:id="rId42"/>
    <sheet name="发票管理" sheetId="27" r:id="rId43"/>
  </sheets>
  <calcPr calcId="162913"/>
</workbook>
</file>

<file path=xl/calcChain.xml><?xml version="1.0" encoding="utf-8"?>
<calcChain xmlns="http://schemas.openxmlformats.org/spreadsheetml/2006/main">
  <c r="G257" i="5" l="1"/>
  <c r="F257" i="5"/>
  <c r="E257" i="5"/>
  <c r="D257" i="5"/>
  <c r="C257" i="5"/>
  <c r="R2" i="49"/>
  <c r="O2" i="49"/>
  <c r="L2" i="49"/>
  <c r="I2" i="49"/>
  <c r="F2" i="49"/>
  <c r="C2" i="49"/>
  <c r="R2" i="48" l="1"/>
  <c r="G256" i="5" s="1"/>
  <c r="O2" i="48"/>
  <c r="F256" i="5" s="1"/>
  <c r="L2" i="48"/>
  <c r="E256" i="5" s="1"/>
  <c r="I2" i="48"/>
  <c r="D256" i="5" s="1"/>
  <c r="F2" i="48"/>
  <c r="C256" i="5" s="1"/>
  <c r="C2" i="48"/>
  <c r="R2" i="47" l="1"/>
  <c r="G255" i="5" s="1"/>
  <c r="O2" i="47"/>
  <c r="F255" i="5" s="1"/>
  <c r="L2" i="47"/>
  <c r="E255" i="5" s="1"/>
  <c r="I2" i="47"/>
  <c r="D255" i="5" s="1"/>
  <c r="F2" i="47"/>
  <c r="C255" i="5" s="1"/>
  <c r="C2" i="47"/>
  <c r="R2" i="46" l="1"/>
  <c r="G254" i="5" s="1"/>
  <c r="O2" i="46"/>
  <c r="F254" i="5" s="1"/>
  <c r="L2" i="46"/>
  <c r="E254" i="5" s="1"/>
  <c r="I2" i="46"/>
  <c r="D254" i="5" s="1"/>
  <c r="F2" i="46"/>
  <c r="C254" i="5" s="1"/>
  <c r="C2" i="46"/>
  <c r="R2" i="45" l="1"/>
  <c r="G253" i="5" s="1"/>
  <c r="O2" i="45"/>
  <c r="F253" i="5" s="1"/>
  <c r="L2" i="45"/>
  <c r="E253" i="5" s="1"/>
  <c r="I2" i="45"/>
  <c r="D253" i="5" s="1"/>
  <c r="F2" i="45"/>
  <c r="C253" i="5" s="1"/>
  <c r="C2" i="45"/>
  <c r="R2" i="44" l="1"/>
  <c r="G252" i="5" s="1"/>
  <c r="O2" i="44"/>
  <c r="F252" i="5" s="1"/>
  <c r="L2" i="44"/>
  <c r="E252" i="5" s="1"/>
  <c r="I2" i="44"/>
  <c r="D252" i="5" s="1"/>
  <c r="F2" i="44"/>
  <c r="C252" i="5" s="1"/>
  <c r="C2" i="44"/>
  <c r="C251" i="5" l="1"/>
  <c r="R2" i="43"/>
  <c r="G251" i="5" s="1"/>
  <c r="O2" i="43"/>
  <c r="F251" i="5" s="1"/>
  <c r="L2" i="43"/>
  <c r="E251" i="5" s="1"/>
  <c r="I2" i="43"/>
  <c r="D251" i="5" s="1"/>
  <c r="F2" i="43"/>
  <c r="C2" i="43"/>
  <c r="C250" i="5" l="1"/>
  <c r="R2" i="42"/>
  <c r="G250" i="5" s="1"/>
  <c r="O2" i="42"/>
  <c r="F250" i="5" s="1"/>
  <c r="L2" i="42"/>
  <c r="E250" i="5" s="1"/>
  <c r="I2" i="42"/>
  <c r="D250" i="5" s="1"/>
  <c r="F2" i="42"/>
  <c r="C2" i="42"/>
  <c r="B44" i="14" l="1"/>
  <c r="O2" i="41" l="1"/>
  <c r="F249" i="5" s="1"/>
  <c r="R2" i="41"/>
  <c r="G249" i="5" s="1"/>
  <c r="L2" i="41"/>
  <c r="E249" i="5" s="1"/>
  <c r="I2" i="41"/>
  <c r="D249" i="5" s="1"/>
  <c r="F2" i="41"/>
  <c r="C249" i="5" s="1"/>
  <c r="C2" i="41"/>
  <c r="P21" i="40" l="1"/>
  <c r="R2" i="40" l="1"/>
  <c r="G248" i="5" s="1"/>
  <c r="O2" i="40"/>
  <c r="F248" i="5" s="1"/>
  <c r="L2" i="40"/>
  <c r="E248" i="5" s="1"/>
  <c r="I2" i="40"/>
  <c r="D248" i="5" s="1"/>
  <c r="F2" i="40"/>
  <c r="C248" i="5" s="1"/>
  <c r="C2" i="40"/>
  <c r="R2" i="39" l="1"/>
  <c r="G247" i="5" s="1"/>
  <c r="O2" i="39"/>
  <c r="F247" i="5" s="1"/>
  <c r="L2" i="39"/>
  <c r="E247" i="5" s="1"/>
  <c r="I2" i="39"/>
  <c r="D247" i="5" s="1"/>
  <c r="F2" i="39"/>
  <c r="C247" i="5" s="1"/>
  <c r="C2" i="39"/>
  <c r="P17" i="38" l="1"/>
  <c r="R2" i="38" l="1"/>
  <c r="G246" i="5" s="1"/>
  <c r="O2" i="38"/>
  <c r="F246" i="5" s="1"/>
  <c r="L2" i="38"/>
  <c r="E246" i="5" s="1"/>
  <c r="I2" i="38"/>
  <c r="D246" i="5" s="1"/>
  <c r="F2" i="38"/>
  <c r="C246" i="5" s="1"/>
  <c r="C2" i="38"/>
  <c r="S30" i="36" l="1"/>
  <c r="J21" i="14" l="1"/>
  <c r="R2" i="36" l="1"/>
  <c r="G245" i="5" s="1"/>
  <c r="O2" i="36"/>
  <c r="F245" i="5" s="1"/>
  <c r="L2" i="36"/>
  <c r="E245" i="5" s="1"/>
  <c r="I2" i="36"/>
  <c r="D245" i="5" s="1"/>
  <c r="F2" i="36"/>
  <c r="C245" i="5" s="1"/>
  <c r="C2" i="36"/>
  <c r="J20" i="14" l="1"/>
  <c r="R2" i="35" l="1"/>
  <c r="G244" i="5" s="1"/>
  <c r="O2" i="35"/>
  <c r="F244" i="5" s="1"/>
  <c r="L2" i="35"/>
  <c r="E244" i="5" s="1"/>
  <c r="I2" i="35"/>
  <c r="D244" i="5" s="1"/>
  <c r="F2" i="35"/>
  <c r="C244" i="5" s="1"/>
  <c r="C2" i="35"/>
  <c r="R2" i="34" l="1"/>
  <c r="G243" i="5" s="1"/>
  <c r="O2" i="34"/>
  <c r="F243" i="5" s="1"/>
  <c r="L2" i="34"/>
  <c r="E243" i="5" s="1"/>
  <c r="I2" i="34"/>
  <c r="D243" i="5" s="1"/>
  <c r="F2" i="34"/>
  <c r="C243" i="5" s="1"/>
  <c r="C2" i="34"/>
  <c r="R2" i="33" l="1"/>
  <c r="G242" i="5" s="1"/>
  <c r="O2" i="33"/>
  <c r="F242" i="5" s="1"/>
  <c r="L2" i="33"/>
  <c r="E242" i="5" s="1"/>
  <c r="I2" i="33"/>
  <c r="D242" i="5" s="1"/>
  <c r="F2" i="33"/>
  <c r="C242" i="5" s="1"/>
  <c r="C2" i="33"/>
  <c r="P7" i="32" l="1"/>
  <c r="G7" i="32"/>
  <c r="F2" i="32" s="1"/>
  <c r="C241" i="5" s="1"/>
  <c r="J19" i="14"/>
  <c r="R2" i="32"/>
  <c r="G241" i="5" s="1"/>
  <c r="O2" i="32"/>
  <c r="F241" i="5" s="1"/>
  <c r="L2" i="32"/>
  <c r="E241" i="5" s="1"/>
  <c r="I2" i="32"/>
  <c r="D241" i="5" s="1"/>
  <c r="C2" i="32"/>
  <c r="B43" i="14" l="1"/>
  <c r="B42" i="14"/>
  <c r="B41" i="14"/>
  <c r="B40" i="14"/>
  <c r="B39" i="14"/>
  <c r="B38" i="14"/>
  <c r="B37" i="14"/>
  <c r="B36" i="14"/>
  <c r="B35" i="14"/>
  <c r="Q7" i="14" l="1"/>
  <c r="J18" i="14"/>
  <c r="J17" i="14"/>
  <c r="J16" i="14"/>
  <c r="J15" i="14"/>
  <c r="J8" i="14"/>
  <c r="J9" i="14"/>
  <c r="J10" i="14"/>
  <c r="J11" i="14"/>
  <c r="J12" i="14"/>
  <c r="J13" i="14"/>
  <c r="J14" i="14"/>
  <c r="J7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34" i="14"/>
  <c r="B33" i="14"/>
  <c r="B32" i="14"/>
  <c r="B31" i="14"/>
  <c r="B30" i="14"/>
  <c r="C2" i="14" l="1"/>
  <c r="M15" i="31"/>
  <c r="F2" i="31" l="1"/>
  <c r="C239" i="5" s="1"/>
  <c r="R2" i="31"/>
  <c r="G239" i="5" s="1"/>
  <c r="O2" i="31"/>
  <c r="F239" i="5" s="1"/>
  <c r="L2" i="31"/>
  <c r="E239" i="5" s="1"/>
  <c r="I2" i="31"/>
  <c r="D239" i="5" s="1"/>
  <c r="C2" i="31"/>
  <c r="R2" i="30" l="1"/>
  <c r="O2" i="30"/>
  <c r="L2" i="30"/>
  <c r="G238" i="5" l="1"/>
  <c r="G2" i="5" s="1"/>
  <c r="J43" i="30" l="1"/>
  <c r="I2" i="30" s="1"/>
  <c r="G44" i="30"/>
  <c r="F2" i="30" s="1"/>
  <c r="F238" i="5" l="1"/>
  <c r="F2" i="5" l="1"/>
  <c r="E238" i="5"/>
  <c r="D238" i="5"/>
  <c r="C238" i="5"/>
  <c r="C2" i="30"/>
  <c r="L2" i="29" l="1"/>
  <c r="E237" i="5" s="1"/>
  <c r="I2" i="29"/>
  <c r="D237" i="5" s="1"/>
  <c r="F2" i="29"/>
  <c r="C237" i="5" s="1"/>
  <c r="C2" i="29"/>
  <c r="G28" i="28" l="1"/>
  <c r="F2" i="28" l="1"/>
  <c r="C236" i="5" s="1"/>
  <c r="L2" i="28"/>
  <c r="E236" i="5" s="1"/>
  <c r="I2" i="28"/>
  <c r="D236" i="5" s="1"/>
  <c r="C2" i="28"/>
  <c r="G11" i="26" l="1"/>
  <c r="L2" i="26" l="1"/>
  <c r="E235" i="5" s="1"/>
  <c r="I2" i="26"/>
  <c r="D235" i="5" s="1"/>
  <c r="F2" i="26"/>
  <c r="C235" i="5" s="1"/>
  <c r="C2" i="26"/>
  <c r="L2" i="25" l="1"/>
  <c r="E234" i="5" s="1"/>
  <c r="I2" i="25"/>
  <c r="D234" i="5" s="1"/>
  <c r="F2" i="25"/>
  <c r="C234" i="5" s="1"/>
  <c r="C2" i="25"/>
  <c r="L2" i="24" l="1"/>
  <c r="E233" i="5" s="1"/>
  <c r="I2" i="24"/>
  <c r="D233" i="5" s="1"/>
  <c r="F2" i="24"/>
  <c r="C233" i="5" s="1"/>
  <c r="C2" i="24"/>
  <c r="F2" i="22" l="1"/>
  <c r="C232" i="5" s="1"/>
  <c r="I2" i="22"/>
  <c r="D232" i="5" s="1"/>
  <c r="L2" i="22"/>
  <c r="E232" i="5" s="1"/>
  <c r="C2" i="22"/>
  <c r="F22" i="14" l="1"/>
  <c r="L2" i="21" l="1"/>
  <c r="E231" i="5" s="1"/>
  <c r="I2" i="21"/>
  <c r="D231" i="5" s="1"/>
  <c r="F2" i="21"/>
  <c r="C231" i="5" s="1"/>
  <c r="C2" i="21"/>
  <c r="G34" i="20" l="1"/>
  <c r="L2" i="20" l="1"/>
  <c r="E230" i="5" s="1"/>
  <c r="I2" i="20"/>
  <c r="D230" i="5" s="1"/>
  <c r="F2" i="20"/>
  <c r="C230" i="5" s="1"/>
  <c r="C2" i="20"/>
  <c r="C3" i="5" l="1"/>
  <c r="L2" i="19" l="1"/>
  <c r="E229" i="5" s="1"/>
  <c r="I2" i="19"/>
  <c r="D229" i="5" s="1"/>
  <c r="F2" i="19"/>
  <c r="C229" i="5" s="1"/>
  <c r="C2" i="19"/>
  <c r="F2" i="18" l="1"/>
  <c r="C228" i="5" s="1"/>
  <c r="L2" i="18"/>
  <c r="E228" i="5" s="1"/>
  <c r="I2" i="18"/>
  <c r="D228" i="5" s="1"/>
  <c r="C2" i="18"/>
  <c r="G15" i="17" l="1"/>
  <c r="L2" i="17" l="1"/>
  <c r="E227" i="5" s="1"/>
  <c r="I2" i="17"/>
  <c r="D227" i="5" s="1"/>
  <c r="F2" i="17"/>
  <c r="C227" i="5" s="1"/>
  <c r="C2" i="17"/>
  <c r="F14" i="14" l="1"/>
  <c r="L2" i="16" l="1"/>
  <c r="E226" i="5" s="1"/>
  <c r="I2" i="16"/>
  <c r="D226" i="5" s="1"/>
  <c r="F2" i="16"/>
  <c r="C226" i="5" s="1"/>
  <c r="C2" i="16"/>
  <c r="L2" i="15" l="1"/>
  <c r="E225" i="5" s="1"/>
  <c r="I2" i="15"/>
  <c r="D225" i="5" s="1"/>
  <c r="F2" i="15"/>
  <c r="C225" i="5" s="1"/>
  <c r="C2" i="15"/>
  <c r="L2" i="13" l="1"/>
  <c r="E224" i="5" s="1"/>
  <c r="I2" i="13"/>
  <c r="D224" i="5" s="1"/>
  <c r="F2" i="13"/>
  <c r="C224" i="5" s="1"/>
  <c r="C2" i="13"/>
  <c r="L2" i="12" l="1"/>
  <c r="E223" i="5" s="1"/>
  <c r="I2" i="12"/>
  <c r="D223" i="5" s="1"/>
  <c r="F2" i="12"/>
  <c r="C223" i="5" s="1"/>
  <c r="C2" i="12"/>
  <c r="B222" i="5" l="1"/>
  <c r="L2" i="11"/>
  <c r="E222" i="5" s="1"/>
  <c r="I2" i="11"/>
  <c r="D222" i="5" s="1"/>
  <c r="F2" i="11"/>
  <c r="C222" i="5" s="1"/>
  <c r="C2" i="11"/>
  <c r="L2" i="10" l="1"/>
  <c r="E221" i="5" s="1"/>
  <c r="I2" i="10"/>
  <c r="D221" i="5" s="1"/>
  <c r="F2" i="10"/>
  <c r="C221" i="5" s="1"/>
  <c r="C2" i="10"/>
  <c r="B221" i="5" s="1"/>
  <c r="L2" i="9" l="1"/>
  <c r="E220" i="5" s="1"/>
  <c r="I2" i="9"/>
  <c r="D220" i="5" s="1"/>
  <c r="F2" i="9"/>
  <c r="C220" i="5" s="1"/>
  <c r="C2" i="9"/>
  <c r="B220" i="5" s="1"/>
  <c r="L2" i="8" l="1"/>
  <c r="E219" i="5" s="1"/>
  <c r="I2" i="8"/>
  <c r="D219" i="5" s="1"/>
  <c r="F2" i="8"/>
  <c r="C219" i="5" s="1"/>
  <c r="C2" i="8"/>
  <c r="B219" i="5" s="1"/>
  <c r="O2" i="7" l="1"/>
  <c r="L2" i="7" l="1"/>
  <c r="E218" i="5" s="1"/>
  <c r="I2" i="7"/>
  <c r="D218" i="5" s="1"/>
  <c r="F2" i="7"/>
  <c r="C218" i="5" s="1"/>
  <c r="C2" i="7"/>
  <c r="B218" i="5" s="1"/>
  <c r="L2" i="6" l="1"/>
  <c r="E217" i="5" s="1"/>
  <c r="I2" i="6"/>
  <c r="D217" i="5" s="1"/>
  <c r="G19" i="6"/>
  <c r="G18" i="6"/>
  <c r="G17" i="6"/>
  <c r="D14" i="6"/>
  <c r="C2" i="6" s="1"/>
  <c r="B217" i="5" s="1"/>
  <c r="F2" i="6" l="1"/>
  <c r="C217" i="5" s="1"/>
  <c r="C216" i="5"/>
  <c r="D212" i="5" l="1"/>
  <c r="C212" i="5" l="1"/>
  <c r="B206" i="5" l="1"/>
  <c r="B204" i="5" l="1"/>
  <c r="E202" i="5" l="1"/>
  <c r="B135" i="5" l="1"/>
  <c r="B3" i="5" l="1"/>
  <c r="B129" i="5" l="1"/>
  <c r="E118" i="5" l="1"/>
  <c r="B115" i="5" l="1"/>
  <c r="B105" i="5" l="1"/>
  <c r="B100" i="5" l="1"/>
  <c r="C100" i="5" l="1"/>
  <c r="C93" i="5" l="1"/>
  <c r="D92" i="5" l="1"/>
  <c r="E92" i="5"/>
  <c r="D91" i="5" l="1"/>
  <c r="E91" i="5" l="1"/>
  <c r="B84" i="5" l="1"/>
  <c r="B76" i="5" l="1"/>
  <c r="B73" i="5" l="1"/>
  <c r="B69" i="5" l="1"/>
  <c r="D63" i="5" l="1"/>
  <c r="B62" i="5" l="1"/>
  <c r="E58" i="5" l="1"/>
  <c r="B58" i="5" l="1"/>
  <c r="E2" i="5" l="1"/>
  <c r="C40" i="5" l="1"/>
  <c r="D37" i="5" l="1"/>
  <c r="D2" i="5" l="1"/>
  <c r="B37" i="5"/>
  <c r="B2" i="5" l="1"/>
  <c r="C2" i="5" l="1"/>
</calcChain>
</file>

<file path=xl/comments1.xml><?xml version="1.0" encoding="utf-8"?>
<comments xmlns="http://schemas.openxmlformats.org/spreadsheetml/2006/main">
  <authors>
    <author>作成者</author>
  </authors>
  <commentList>
    <comment ref="B20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タクシー</t>
        </r>
      </text>
    </comment>
  </commentList>
</comments>
</file>

<file path=xl/comments2.xml><?xml version="1.0" encoding="utf-8"?>
<comments xmlns="http://schemas.openxmlformats.org/spreadsheetml/2006/main">
  <authors>
    <author>作成者</author>
  </authors>
  <commentList>
    <comment ref="D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小楊</t>
        </r>
      </text>
    </comment>
    <comment ref="D9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支付宝</t>
        </r>
      </text>
    </comment>
    <comment ref="D1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支付宝</t>
        </r>
      </text>
    </comment>
    <comment ref="D1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支付宝</t>
        </r>
      </text>
    </comment>
  </commentList>
</comments>
</file>

<file path=xl/sharedStrings.xml><?xml version="1.0" encoding="utf-8"?>
<sst xmlns="http://schemas.openxmlformats.org/spreadsheetml/2006/main" count="2443" uniqueCount="307">
  <si>
    <t>その他</t>
    <rPh sb="2" eb="3">
      <t>タ</t>
    </rPh>
    <phoneticPr fontId="1"/>
  </si>
  <si>
    <t>楊</t>
    <rPh sb="0" eb="1">
      <t>ヨウ</t>
    </rPh>
    <phoneticPr fontId="1"/>
  </si>
  <si>
    <t>張</t>
    <rPh sb="0" eb="1">
      <t>チョウ</t>
    </rPh>
    <phoneticPr fontId="1"/>
  </si>
  <si>
    <t>曜日</t>
    <rPh sb="0" eb="2">
      <t>ヨウビ</t>
    </rPh>
    <phoneticPr fontId="1"/>
  </si>
  <si>
    <t>火</t>
  </si>
  <si>
    <t>月</t>
  </si>
  <si>
    <t>水</t>
  </si>
  <si>
    <t>木</t>
  </si>
  <si>
    <t>金</t>
  </si>
  <si>
    <t>土</t>
  </si>
  <si>
    <t>日</t>
  </si>
  <si>
    <t>合計</t>
    <rPh sb="0" eb="2">
      <t>ゴウケイ</t>
    </rPh>
    <phoneticPr fontId="1"/>
  </si>
  <si>
    <t>菜</t>
    <rPh sb="0" eb="1">
      <t>サイ</t>
    </rPh>
    <phoneticPr fontId="1"/>
  </si>
  <si>
    <t>閻</t>
    <rPh sb="0" eb="1">
      <t>エン</t>
    </rPh>
    <phoneticPr fontId="1"/>
  </si>
  <si>
    <t>日付</t>
    <rPh sb="0" eb="2">
      <t>ヒズケ</t>
    </rPh>
    <phoneticPr fontId="1"/>
  </si>
  <si>
    <t>コーヒー</t>
    <phoneticPr fontId="1"/>
  </si>
  <si>
    <t>パン</t>
    <phoneticPr fontId="1"/>
  </si>
  <si>
    <t>とり</t>
    <phoneticPr fontId="1"/>
  </si>
  <si>
    <t>支払宝</t>
    <rPh sb="0" eb="3">
      <t>シハライタカラ</t>
    </rPh>
    <phoneticPr fontId="1"/>
  </si>
  <si>
    <t>受入</t>
    <rPh sb="0" eb="2">
      <t>ウケイレ</t>
    </rPh>
    <phoneticPr fontId="1"/>
  </si>
  <si>
    <t>昼ご飯</t>
    <rPh sb="0" eb="1">
      <t>ヒル</t>
    </rPh>
    <rPh sb="2" eb="3">
      <t>ハン</t>
    </rPh>
    <phoneticPr fontId="1"/>
  </si>
  <si>
    <t>午後茶</t>
    <rPh sb="0" eb="3">
      <t>ゴゴチャ</t>
    </rPh>
    <phoneticPr fontId="1"/>
  </si>
  <si>
    <t>小楊</t>
    <rPh sb="0" eb="2">
      <t>ショウヨウ</t>
    </rPh>
    <phoneticPr fontId="1"/>
  </si>
  <si>
    <t>おでん</t>
    <phoneticPr fontId="1"/>
  </si>
  <si>
    <t>餃子</t>
    <rPh sb="0" eb="2">
      <t>ギョウザ</t>
    </rPh>
    <phoneticPr fontId="1"/>
  </si>
  <si>
    <t>コーヒー</t>
    <phoneticPr fontId="1"/>
  </si>
  <si>
    <t>鳥車</t>
    <rPh sb="0" eb="2">
      <t>トリクルマ</t>
    </rPh>
    <phoneticPr fontId="1"/>
  </si>
  <si>
    <t>精算</t>
    <rPh sb="0" eb="2">
      <t>セイサン</t>
    </rPh>
    <phoneticPr fontId="1"/>
  </si>
  <si>
    <t>精算受入</t>
    <rPh sb="0" eb="2">
      <t>セイサン</t>
    </rPh>
    <rPh sb="2" eb="4">
      <t>ウケイレ</t>
    </rPh>
    <phoneticPr fontId="1"/>
  </si>
  <si>
    <t>コーヒークーポン受入</t>
    <phoneticPr fontId="1"/>
  </si>
  <si>
    <t>現金チャージ</t>
    <rPh sb="0" eb="2">
      <t>ゲンキン</t>
    </rPh>
    <phoneticPr fontId="1"/>
  </si>
  <si>
    <t>タクシー精算</t>
    <rPh sb="4" eb="6">
      <t>セイサン</t>
    </rPh>
    <phoneticPr fontId="1"/>
  </si>
  <si>
    <t>残業食事精算</t>
    <rPh sb="0" eb="2">
      <t>ザンギョウ</t>
    </rPh>
    <rPh sb="2" eb="4">
      <t>ショクジ</t>
    </rPh>
    <rPh sb="4" eb="6">
      <t>セイサン</t>
    </rPh>
    <phoneticPr fontId="1"/>
  </si>
  <si>
    <t>KFCコーヒー</t>
    <phoneticPr fontId="1"/>
  </si>
  <si>
    <t>支払宝</t>
    <rPh sb="0" eb="3">
      <t>シハライタカラ</t>
    </rPh>
    <phoneticPr fontId="1"/>
  </si>
  <si>
    <t>牛肉餅</t>
    <rPh sb="0" eb="3">
      <t>ギュウニクモチ</t>
    </rPh>
    <phoneticPr fontId="1"/>
  </si>
  <si>
    <t>コーヒークーポン受入</t>
    <phoneticPr fontId="1"/>
  </si>
  <si>
    <t>黄</t>
    <rPh sb="0" eb="1">
      <t>コウ</t>
    </rPh>
    <phoneticPr fontId="1"/>
  </si>
  <si>
    <t>チャージ受入</t>
    <rPh sb="4" eb="6">
      <t>ウケイレ</t>
    </rPh>
    <phoneticPr fontId="1"/>
  </si>
  <si>
    <t>野戦</t>
    <rPh sb="0" eb="1">
      <t>ノ</t>
    </rPh>
    <rPh sb="1" eb="2">
      <t>セン</t>
    </rPh>
    <phoneticPr fontId="1"/>
  </si>
  <si>
    <t>黒土地</t>
    <rPh sb="0" eb="1">
      <t>クロ</t>
    </rPh>
    <rPh sb="1" eb="3">
      <t>トチ</t>
    </rPh>
    <phoneticPr fontId="1"/>
  </si>
  <si>
    <t>残業食事精算</t>
    <rPh sb="0" eb="2">
      <t>ザンギョウ</t>
    </rPh>
    <rPh sb="2" eb="4">
      <t>ショクジ</t>
    </rPh>
    <rPh sb="4" eb="6">
      <t>セイサン</t>
    </rPh>
    <phoneticPr fontId="1"/>
  </si>
  <si>
    <t>精算受入</t>
    <phoneticPr fontId="1"/>
  </si>
  <si>
    <t>支払宝受入</t>
    <rPh sb="0" eb="3">
      <t>シハライタカラ</t>
    </rPh>
    <rPh sb="3" eb="5">
      <t>ウケイレ</t>
    </rPh>
    <phoneticPr fontId="1"/>
  </si>
  <si>
    <t>日</t>
    <rPh sb="0" eb="1">
      <t>ニチ</t>
    </rPh>
    <phoneticPr fontId="1"/>
  </si>
  <si>
    <t>コーヒー</t>
    <phoneticPr fontId="1"/>
  </si>
  <si>
    <t>ファミリー</t>
    <phoneticPr fontId="1"/>
  </si>
  <si>
    <t>ファミリー</t>
    <phoneticPr fontId="1"/>
  </si>
  <si>
    <t>支払宝受入</t>
    <rPh sb="0" eb="3">
      <t>シハライタカラ</t>
    </rPh>
    <rPh sb="3" eb="5">
      <t>ウケイレ</t>
    </rPh>
    <phoneticPr fontId="1"/>
  </si>
  <si>
    <t>老盛</t>
    <rPh sb="0" eb="1">
      <t>ロウ</t>
    </rPh>
    <rPh sb="1" eb="2">
      <t>モ</t>
    </rPh>
    <phoneticPr fontId="1"/>
  </si>
  <si>
    <t>取引</t>
    <rPh sb="0" eb="2">
      <t>トリヒキ</t>
    </rPh>
    <phoneticPr fontId="1"/>
  </si>
  <si>
    <t>タクシー代</t>
    <rPh sb="4" eb="5">
      <t>ダイ</t>
    </rPh>
    <phoneticPr fontId="1"/>
  </si>
  <si>
    <t>受入</t>
    <rPh sb="0" eb="2">
      <t>ウケイレ</t>
    </rPh>
    <phoneticPr fontId="1"/>
  </si>
  <si>
    <t>ご飯</t>
    <rPh sb="1" eb="2">
      <t>ハン</t>
    </rPh>
    <phoneticPr fontId="1"/>
  </si>
  <si>
    <t>ファミリー</t>
    <phoneticPr fontId="1"/>
  </si>
  <si>
    <t>奢り</t>
    <rPh sb="0" eb="1">
      <t>オゴ</t>
    </rPh>
    <phoneticPr fontId="1"/>
  </si>
  <si>
    <t>ファミリー</t>
    <phoneticPr fontId="1"/>
  </si>
  <si>
    <t>鶏</t>
    <rPh sb="0" eb="1">
      <t>トリ</t>
    </rPh>
    <phoneticPr fontId="1"/>
  </si>
  <si>
    <t>木耳</t>
    <rPh sb="0" eb="1">
      <t>モク</t>
    </rPh>
    <rPh sb="1" eb="2">
      <t>ミミ</t>
    </rPh>
    <phoneticPr fontId="1"/>
  </si>
  <si>
    <t>人数</t>
    <phoneticPr fontId="1"/>
  </si>
  <si>
    <t>加班餐</t>
    <phoneticPr fontId="1"/>
  </si>
  <si>
    <r>
      <t>出租</t>
    </r>
    <r>
      <rPr>
        <sz val="11"/>
        <color theme="1"/>
        <rFont val="ＭＳ Ｐゴシック"/>
        <family val="3"/>
        <charset val="134"/>
        <scheme val="minor"/>
      </rPr>
      <t>车</t>
    </r>
    <phoneticPr fontId="1"/>
  </si>
  <si>
    <t>張：23　黄：58</t>
    <rPh sb="0" eb="1">
      <t>チョウ</t>
    </rPh>
    <rPh sb="5" eb="6">
      <t>コウ</t>
    </rPh>
    <phoneticPr fontId="1"/>
  </si>
  <si>
    <r>
      <t>周</t>
    </r>
    <r>
      <rPr>
        <sz val="11"/>
        <color theme="1"/>
        <rFont val="ＭＳ Ｐゴシック"/>
        <family val="3"/>
        <charset val="134"/>
        <scheme val="minor"/>
      </rPr>
      <t>张黄菜</t>
    </r>
    <phoneticPr fontId="1"/>
  </si>
  <si>
    <t>ファミリー</t>
    <phoneticPr fontId="1"/>
  </si>
  <si>
    <t>コーヒー</t>
    <phoneticPr fontId="1"/>
  </si>
  <si>
    <r>
      <t>状</t>
    </r>
    <r>
      <rPr>
        <sz val="11"/>
        <color theme="1"/>
        <rFont val="ＭＳ Ｐゴシック"/>
        <family val="3"/>
        <charset val="134"/>
        <scheme val="minor"/>
      </rPr>
      <t>态</t>
    </r>
    <phoneticPr fontId="1"/>
  </si>
  <si>
    <t>備考</t>
    <rPh sb="0" eb="2">
      <t>ビコウ</t>
    </rPh>
    <phoneticPr fontId="1"/>
  </si>
  <si>
    <t>金額</t>
    <rPh sb="0" eb="2">
      <t>キンガク</t>
    </rPh>
    <phoneticPr fontId="1"/>
  </si>
  <si>
    <t>午後茶</t>
    <rPh sb="0" eb="3">
      <t>ゴゴチャ</t>
    </rPh>
    <phoneticPr fontId="1"/>
  </si>
  <si>
    <t>コーヒー</t>
    <phoneticPr fontId="1"/>
  </si>
  <si>
    <t>髪</t>
    <rPh sb="0" eb="1">
      <t>カミ</t>
    </rPh>
    <phoneticPr fontId="1"/>
  </si>
  <si>
    <t>コーヒー</t>
    <phoneticPr fontId="1"/>
  </si>
  <si>
    <r>
      <t>已核</t>
    </r>
    <r>
      <rPr>
        <sz val="11"/>
        <color theme="1"/>
        <rFont val="ＭＳ Ｐゴシック"/>
        <family val="3"/>
        <charset val="134"/>
        <scheme val="minor"/>
      </rPr>
      <t>销</t>
    </r>
    <phoneticPr fontId="1"/>
  </si>
  <si>
    <t>現金受入</t>
    <rPh sb="0" eb="2">
      <t>ゲンキン</t>
    </rPh>
    <rPh sb="2" eb="4">
      <t>ウケイレ</t>
    </rPh>
    <phoneticPr fontId="1"/>
  </si>
  <si>
    <t>受入</t>
    <rPh sb="0" eb="2">
      <t>ウケイレ</t>
    </rPh>
    <phoneticPr fontId="1"/>
  </si>
  <si>
    <t>釣り</t>
    <rPh sb="0" eb="1">
      <t>ツ</t>
    </rPh>
    <phoneticPr fontId="1"/>
  </si>
  <si>
    <t>コーヒー</t>
    <phoneticPr fontId="1"/>
  </si>
  <si>
    <t>残業食事</t>
    <rPh sb="0" eb="2">
      <t>ザンギョウ</t>
    </rPh>
    <rPh sb="2" eb="4">
      <t>ショクジ</t>
    </rPh>
    <phoneticPr fontId="1"/>
  </si>
  <si>
    <t>外食</t>
    <rPh sb="0" eb="2">
      <t>ガイショク</t>
    </rPh>
    <phoneticPr fontId="1"/>
  </si>
  <si>
    <r>
      <t>崔</t>
    </r>
    <r>
      <rPr>
        <sz val="11"/>
        <color theme="1"/>
        <rFont val="ＭＳ Ｐゴシック"/>
        <family val="3"/>
        <charset val="134"/>
        <scheme val="minor"/>
      </rPr>
      <t>张范A</t>
    </r>
    <phoneticPr fontId="1"/>
  </si>
  <si>
    <t>外食</t>
    <rPh sb="0" eb="2">
      <t>ガイショク</t>
    </rPh>
    <phoneticPr fontId="1"/>
  </si>
  <si>
    <t>コーヒー</t>
    <phoneticPr fontId="1"/>
  </si>
  <si>
    <r>
      <t>已核</t>
    </r>
    <r>
      <rPr>
        <sz val="11"/>
        <color theme="1"/>
        <rFont val="ＭＳ Ｐゴシック"/>
        <family val="3"/>
        <charset val="134"/>
        <scheme val="minor"/>
      </rPr>
      <t>销</t>
    </r>
    <phoneticPr fontId="1"/>
  </si>
  <si>
    <t>残業食事</t>
    <rPh sb="0" eb="2">
      <t>ザンギョウ</t>
    </rPh>
    <rPh sb="2" eb="4">
      <t>ショクジ</t>
    </rPh>
    <phoneticPr fontId="1"/>
  </si>
  <si>
    <t>受入</t>
    <rPh sb="0" eb="2">
      <t>ウケイレ</t>
    </rPh>
    <phoneticPr fontId="1"/>
  </si>
  <si>
    <t>タクシー代精算</t>
    <rPh sb="4" eb="5">
      <t>ダイ</t>
    </rPh>
    <rPh sb="5" eb="7">
      <t>セイサン</t>
    </rPh>
    <phoneticPr fontId="1"/>
  </si>
  <si>
    <t>コーヒー</t>
    <phoneticPr fontId="1"/>
  </si>
  <si>
    <t>受入</t>
    <rPh sb="0" eb="2">
      <t>ウケイレ</t>
    </rPh>
    <phoneticPr fontId="1"/>
  </si>
  <si>
    <t>タクシー代</t>
    <rPh sb="4" eb="5">
      <t>ダイ</t>
    </rPh>
    <phoneticPr fontId="1"/>
  </si>
  <si>
    <t>晩ご飯</t>
    <rPh sb="0" eb="1">
      <t>バン</t>
    </rPh>
    <rPh sb="2" eb="3">
      <t>ハン</t>
    </rPh>
    <phoneticPr fontId="1"/>
  </si>
  <si>
    <t>タクシー代</t>
    <rPh sb="4" eb="5">
      <t>ダイ</t>
    </rPh>
    <phoneticPr fontId="1"/>
  </si>
  <si>
    <t>髪</t>
    <rPh sb="0" eb="1">
      <t>カミ</t>
    </rPh>
    <phoneticPr fontId="1"/>
  </si>
  <si>
    <t>残業食事</t>
    <rPh sb="0" eb="2">
      <t>ザンギョウ</t>
    </rPh>
    <rPh sb="2" eb="4">
      <t>ショクジ</t>
    </rPh>
    <phoneticPr fontId="1"/>
  </si>
  <si>
    <t>受入</t>
    <rPh sb="0" eb="2">
      <t>ウケイレ</t>
    </rPh>
    <phoneticPr fontId="1"/>
  </si>
  <si>
    <t>昼ご飯</t>
    <rPh sb="0" eb="1">
      <t>ヒル</t>
    </rPh>
    <rPh sb="2" eb="3">
      <t>ハン</t>
    </rPh>
    <phoneticPr fontId="1"/>
  </si>
  <si>
    <t>コーヒー</t>
    <phoneticPr fontId="1"/>
  </si>
  <si>
    <t>ファミリー</t>
    <phoneticPr fontId="1"/>
  </si>
  <si>
    <t>タクシー代</t>
    <rPh sb="4" eb="5">
      <t>ダイ</t>
    </rPh>
    <phoneticPr fontId="1"/>
  </si>
  <si>
    <t>昼ご飯</t>
    <rPh sb="0" eb="1">
      <t>ヒル</t>
    </rPh>
    <rPh sb="2" eb="3">
      <t>ハン</t>
    </rPh>
    <phoneticPr fontId="1"/>
  </si>
  <si>
    <t>コーヒー</t>
    <phoneticPr fontId="1"/>
  </si>
  <si>
    <t>残業食事精算</t>
    <rPh sb="0" eb="2">
      <t>ザンギョウ</t>
    </rPh>
    <rPh sb="2" eb="4">
      <t>ショクジ</t>
    </rPh>
    <rPh sb="4" eb="6">
      <t>セイサン</t>
    </rPh>
    <phoneticPr fontId="1"/>
  </si>
  <si>
    <t>精算</t>
    <rPh sb="0" eb="2">
      <t>セイサン</t>
    </rPh>
    <phoneticPr fontId="1"/>
  </si>
  <si>
    <t>タクシー代</t>
    <rPh sb="4" eb="5">
      <t>ダイ</t>
    </rPh>
    <phoneticPr fontId="1"/>
  </si>
  <si>
    <t>昼ご飯</t>
    <rPh sb="0" eb="1">
      <t>ヒル</t>
    </rPh>
    <rPh sb="2" eb="3">
      <t>ハン</t>
    </rPh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</si>
  <si>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</si>
  <si>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</si>
  <si>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松屋</t>
    <rPh sb="0" eb="2">
      <t>マツヤ</t>
    </rPh>
    <phoneticPr fontId="1"/>
  </si>
  <si>
    <t>残業食事</t>
    <rPh sb="0" eb="2">
      <t>ザンギョウ</t>
    </rPh>
    <rPh sb="2" eb="4">
      <t>ショクジ</t>
    </rPh>
    <phoneticPr fontId="1"/>
  </si>
  <si>
    <t>スターバックス</t>
    <phoneticPr fontId="1"/>
  </si>
  <si>
    <t>スターバックス</t>
    <phoneticPr fontId="1"/>
  </si>
  <si>
    <t>食事精算</t>
    <rPh sb="0" eb="2">
      <t>ショクジ</t>
    </rPh>
    <rPh sb="2" eb="4">
      <t>セイサン</t>
    </rPh>
    <phoneticPr fontId="1"/>
  </si>
  <si>
    <t>コーヒー</t>
    <phoneticPr fontId="1"/>
  </si>
  <si>
    <t>髪</t>
    <rPh sb="0" eb="1">
      <t>カミ</t>
    </rPh>
    <phoneticPr fontId="1"/>
  </si>
  <si>
    <t>午後茶</t>
    <rPh sb="0" eb="3">
      <t>ゴゴチャ</t>
    </rPh>
    <phoneticPr fontId="1"/>
  </si>
  <si>
    <t>食事精算</t>
    <rPh sb="0" eb="2">
      <t>ショクジ</t>
    </rPh>
    <rPh sb="2" eb="4">
      <t>セイサン</t>
    </rPh>
    <phoneticPr fontId="1"/>
  </si>
  <si>
    <t>昼ご飯</t>
    <rPh sb="0" eb="1">
      <t>ヒル</t>
    </rPh>
    <rPh sb="2" eb="3">
      <t>ハン</t>
    </rPh>
    <phoneticPr fontId="1"/>
  </si>
  <si>
    <t>朝ご飯</t>
    <rPh sb="0" eb="1">
      <t>アサ</t>
    </rPh>
    <rPh sb="2" eb="3">
      <t>ハン</t>
    </rPh>
    <phoneticPr fontId="1"/>
  </si>
  <si>
    <t>タクシー代</t>
    <rPh sb="4" eb="5">
      <t>ダイ</t>
    </rPh>
    <phoneticPr fontId="1"/>
  </si>
  <si>
    <r>
      <t>刘</t>
    </r>
    <r>
      <rPr>
        <sz val="11"/>
        <color theme="1"/>
        <rFont val="ＭＳ Ｐゴシック"/>
        <family val="3"/>
        <charset val="134"/>
        <scheme val="minor"/>
      </rPr>
      <t>晓丹</t>
    </r>
    <phoneticPr fontId="1"/>
  </si>
  <si>
    <t>奢り</t>
    <rPh sb="0" eb="1">
      <t>オゴ</t>
    </rPh>
    <phoneticPr fontId="1"/>
  </si>
  <si>
    <t>鶏</t>
    <rPh sb="0" eb="1">
      <t>トリ</t>
    </rPh>
    <phoneticPr fontId="1"/>
  </si>
  <si>
    <t>雲南</t>
    <rPh sb="0" eb="1">
      <t>クモ</t>
    </rPh>
    <rPh sb="1" eb="2">
      <t>ミナミ</t>
    </rPh>
    <phoneticPr fontId="1"/>
  </si>
  <si>
    <t>精算</t>
    <rPh sb="0" eb="2">
      <t>セイサン</t>
    </rPh>
    <phoneticPr fontId="1"/>
  </si>
  <si>
    <t>昼ご飯</t>
    <rPh sb="0" eb="1">
      <t>ヒル</t>
    </rPh>
    <rPh sb="2" eb="3">
      <t>ハン</t>
    </rPh>
    <phoneticPr fontId="1"/>
  </si>
  <si>
    <t>チャージ</t>
    <phoneticPr fontId="1"/>
  </si>
  <si>
    <t>KFC</t>
    <phoneticPr fontId="1"/>
  </si>
  <si>
    <t>スターバックス</t>
    <phoneticPr fontId="1"/>
  </si>
  <si>
    <t>コーヒー</t>
    <phoneticPr fontId="1"/>
  </si>
  <si>
    <t>サーリヤ</t>
    <phoneticPr fontId="1"/>
  </si>
  <si>
    <t>入金</t>
    <rPh sb="0" eb="2">
      <t>ニュウキン</t>
    </rPh>
    <phoneticPr fontId="1"/>
  </si>
  <si>
    <t>ジンギスカン</t>
    <phoneticPr fontId="1"/>
  </si>
  <si>
    <t>土</t>
    <rPh sb="0" eb="1">
      <t>ド</t>
    </rPh>
    <phoneticPr fontId="1"/>
  </si>
  <si>
    <t>コーヒー</t>
    <phoneticPr fontId="1"/>
  </si>
  <si>
    <t>精算</t>
    <rPh sb="0" eb="2">
      <t>セイサン</t>
    </rPh>
    <phoneticPr fontId="1"/>
  </si>
  <si>
    <t>午後茶</t>
    <rPh sb="0" eb="3">
      <t>ゴゴチャ</t>
    </rPh>
    <phoneticPr fontId="1"/>
  </si>
  <si>
    <t>スターバックス</t>
    <phoneticPr fontId="1"/>
  </si>
  <si>
    <t>昼ご飯</t>
    <rPh sb="0" eb="1">
      <t>ヒル</t>
    </rPh>
    <rPh sb="2" eb="3">
      <t>ハン</t>
    </rPh>
    <phoneticPr fontId="1"/>
  </si>
  <si>
    <t>タクシー代</t>
    <rPh sb="4" eb="5">
      <t>ダイ</t>
    </rPh>
    <phoneticPr fontId="1"/>
  </si>
  <si>
    <t>食事精算</t>
    <rPh sb="0" eb="4">
      <t>ショクジセイサン</t>
    </rPh>
    <phoneticPr fontId="1"/>
  </si>
  <si>
    <t>昼ご飯</t>
    <rPh sb="0" eb="1">
      <t>ヒル</t>
    </rPh>
    <rPh sb="2" eb="3">
      <t>ハン</t>
    </rPh>
    <phoneticPr fontId="1"/>
  </si>
  <si>
    <t>コーヒー奢る</t>
    <rPh sb="4" eb="5">
      <t>オゴ</t>
    </rPh>
    <phoneticPr fontId="1"/>
  </si>
  <si>
    <t>コーヒー</t>
    <phoneticPr fontId="1"/>
  </si>
  <si>
    <t>KFC</t>
    <phoneticPr fontId="1"/>
  </si>
  <si>
    <t>???</t>
    <phoneticPr fontId="1"/>
  </si>
  <si>
    <t>精算</t>
    <rPh sb="0" eb="2">
      <t>セイサン</t>
    </rPh>
    <phoneticPr fontId="1"/>
  </si>
  <si>
    <t>張：24　黄：42</t>
    <rPh sb="0" eb="1">
      <t>チョウ</t>
    </rPh>
    <rPh sb="5" eb="6">
      <t>コウ</t>
    </rPh>
    <phoneticPr fontId="1"/>
  </si>
  <si>
    <t>精算</t>
    <rPh sb="0" eb="2">
      <t>セイサン</t>
    </rPh>
    <phoneticPr fontId="1"/>
  </si>
  <si>
    <t>コーヒー</t>
    <phoneticPr fontId="1"/>
  </si>
  <si>
    <t>黄：210-10　張子超：141</t>
    <rPh sb="0" eb="1">
      <t>コウ</t>
    </rPh>
    <rPh sb="9" eb="10">
      <t>チョウ</t>
    </rPh>
    <rPh sb="10" eb="11">
      <t>シ</t>
    </rPh>
    <rPh sb="11" eb="12">
      <t>チョウ</t>
    </rPh>
    <phoneticPr fontId="1"/>
  </si>
  <si>
    <t>入金</t>
    <rPh sb="0" eb="2">
      <t>ニュウキン</t>
    </rPh>
    <phoneticPr fontId="1"/>
  </si>
  <si>
    <t>張：92</t>
    <rPh sb="0" eb="1">
      <t>チョウ</t>
    </rPh>
    <phoneticPr fontId="1"/>
  </si>
  <si>
    <t>張：38 張子超：33</t>
    <rPh sb="0" eb="1">
      <t>チョウ</t>
    </rPh>
    <phoneticPr fontId="1"/>
  </si>
  <si>
    <t>开票日期</t>
    <phoneticPr fontId="1"/>
  </si>
  <si>
    <r>
      <t>金</t>
    </r>
    <r>
      <rPr>
        <sz val="11"/>
        <color theme="1"/>
        <rFont val="ＭＳ Ｐゴシック"/>
        <family val="3"/>
        <charset val="134"/>
        <scheme val="minor"/>
      </rPr>
      <t>额</t>
    </r>
    <phoneticPr fontId="1"/>
  </si>
  <si>
    <t>使用状况</t>
    <phoneticPr fontId="1"/>
  </si>
  <si>
    <t>未使用</t>
    <phoneticPr fontId="1"/>
  </si>
  <si>
    <r>
      <t>校</t>
    </r>
    <r>
      <rPr>
        <sz val="11"/>
        <color theme="1"/>
        <rFont val="ＭＳ Ｐゴシック"/>
        <family val="3"/>
        <charset val="134"/>
        <scheme val="minor"/>
      </rPr>
      <t>验码</t>
    </r>
    <phoneticPr fontId="1"/>
  </si>
  <si>
    <t>已使用</t>
    <phoneticPr fontId="1"/>
  </si>
  <si>
    <t>服</t>
    <rPh sb="0" eb="1">
      <t>フク</t>
    </rPh>
    <phoneticPr fontId="1"/>
  </si>
  <si>
    <r>
      <rPr>
        <strike/>
        <sz val="11"/>
        <color theme="1"/>
        <rFont val="ＭＳ Ｐゴシック"/>
        <family val="3"/>
        <charset val="128"/>
        <scheme val="minor"/>
      </rPr>
      <t>朱磊：137 小明：84 黄</t>
    </r>
    <r>
      <rPr>
        <strike/>
        <sz val="11"/>
        <color theme="1"/>
        <rFont val="ＭＳ Ｐゴシック"/>
        <family val="3"/>
        <charset val="134"/>
        <scheme val="minor"/>
      </rPr>
      <t>伟</t>
    </r>
    <r>
      <rPr>
        <strike/>
        <sz val="11"/>
        <color theme="1"/>
        <rFont val="ＭＳ Ｐゴシック"/>
        <family val="3"/>
        <charset val="128"/>
        <scheme val="minor"/>
      </rPr>
      <t>：28+70</t>
    </r>
    <phoneticPr fontId="1"/>
  </si>
  <si>
    <t>コーヒー</t>
    <phoneticPr fontId="1"/>
  </si>
  <si>
    <t>コーヒー</t>
    <phoneticPr fontId="1"/>
  </si>
  <si>
    <t>コーヒー</t>
    <phoneticPr fontId="1"/>
  </si>
  <si>
    <t>コーヒー</t>
    <phoneticPr fontId="1"/>
  </si>
  <si>
    <t>懸念事項</t>
    <rPh sb="0" eb="2">
      <t>ケンネン</t>
    </rPh>
    <rPh sb="2" eb="4">
      <t>ジコウ</t>
    </rPh>
    <phoneticPr fontId="1"/>
  </si>
  <si>
    <t>コーヒー</t>
    <phoneticPr fontId="1"/>
  </si>
  <si>
    <t>コーヒー</t>
    <phoneticPr fontId="1"/>
  </si>
  <si>
    <t>精算</t>
    <rPh sb="0" eb="2">
      <t>セイサン</t>
    </rPh>
    <phoneticPr fontId="1"/>
  </si>
  <si>
    <t>飲み物</t>
    <rPh sb="0" eb="1">
      <t>ノ</t>
    </rPh>
    <rPh sb="2" eb="3">
      <t>モノ</t>
    </rPh>
    <phoneticPr fontId="1"/>
  </si>
  <si>
    <t>アイス</t>
    <phoneticPr fontId="1"/>
  </si>
  <si>
    <t>精算</t>
    <rPh sb="0" eb="2">
      <t>セイサン</t>
    </rPh>
    <phoneticPr fontId="1"/>
  </si>
  <si>
    <t>タクシー代精算</t>
    <rPh sb="4" eb="5">
      <t>ダイ</t>
    </rPh>
    <rPh sb="5" eb="7">
      <t>セイサン</t>
    </rPh>
    <phoneticPr fontId="1"/>
  </si>
  <si>
    <t>入金</t>
    <rPh sb="0" eb="2">
      <t>ニュウキン</t>
    </rPh>
    <phoneticPr fontId="1"/>
  </si>
  <si>
    <t>入金</t>
    <rPh sb="0" eb="2">
      <t>ニュウキン</t>
    </rPh>
    <phoneticPr fontId="1"/>
  </si>
  <si>
    <t>朱</t>
    <rPh sb="0" eb="1">
      <t>シュ</t>
    </rPh>
    <phoneticPr fontId="1"/>
  </si>
  <si>
    <t>コーヒー</t>
    <phoneticPr fontId="1"/>
  </si>
  <si>
    <t>KFC</t>
    <phoneticPr fontId="1"/>
  </si>
  <si>
    <t>アイス</t>
    <phoneticPr fontId="1"/>
  </si>
  <si>
    <t>昼ご飯</t>
    <rPh sb="0" eb="1">
      <t>ヒル</t>
    </rPh>
    <rPh sb="2" eb="3">
      <t>ハン</t>
    </rPh>
    <phoneticPr fontId="1"/>
  </si>
  <si>
    <t>張：44</t>
    <rPh sb="0" eb="1">
      <t>チョウ</t>
    </rPh>
    <phoneticPr fontId="1"/>
  </si>
  <si>
    <t>午後茶</t>
    <rPh sb="0" eb="3">
      <t>ゴゴチャ</t>
    </rPh>
    <phoneticPr fontId="1"/>
  </si>
  <si>
    <t>吴：129 李梅：29.8</t>
    <phoneticPr fontId="1"/>
  </si>
  <si>
    <t>入金</t>
    <rPh sb="0" eb="2">
      <t>ニュウキン</t>
    </rPh>
    <phoneticPr fontId="1"/>
  </si>
  <si>
    <t>朱：62</t>
    <rPh sb="0" eb="1">
      <t>シュ</t>
    </rPh>
    <phoneticPr fontId="1"/>
  </si>
  <si>
    <t>スターバックス</t>
    <phoneticPr fontId="1"/>
  </si>
  <si>
    <t>昼ご飯</t>
    <rPh sb="0" eb="1">
      <t>ヒル</t>
    </rPh>
    <rPh sb="2" eb="3">
      <t>ハン</t>
    </rPh>
    <phoneticPr fontId="1"/>
  </si>
  <si>
    <t>黄</t>
    <rPh sb="0" eb="1">
      <t>コウ</t>
    </rPh>
    <phoneticPr fontId="1"/>
  </si>
  <si>
    <t>張：109　李梅：76</t>
    <rPh sb="0" eb="1">
      <t>チョウ</t>
    </rPh>
    <rPh sb="6" eb="8">
      <t>リバイ</t>
    </rPh>
    <phoneticPr fontId="1"/>
  </si>
  <si>
    <t>張：62　李梅：29　陳：132</t>
    <rPh sb="0" eb="1">
      <t>チョウ</t>
    </rPh>
    <rPh sb="5" eb="7">
      <t>リバイ</t>
    </rPh>
    <rPh sb="11" eb="12">
      <t>チン</t>
    </rPh>
    <phoneticPr fontId="1"/>
  </si>
  <si>
    <t>精算</t>
    <rPh sb="0" eb="2">
      <t>セイサン</t>
    </rPh>
    <phoneticPr fontId="1"/>
  </si>
  <si>
    <t>張：58　黄：67　宗：101</t>
    <rPh sb="0" eb="1">
      <t>チョウ</t>
    </rPh>
    <rPh sb="5" eb="6">
      <t>コウ</t>
    </rPh>
    <rPh sb="10" eb="11">
      <t>ソウ</t>
    </rPh>
    <phoneticPr fontId="1"/>
  </si>
  <si>
    <t>KFC</t>
    <phoneticPr fontId="1"/>
  </si>
  <si>
    <t>昼ごはん</t>
    <rPh sb="0" eb="1">
      <t>ヒル</t>
    </rPh>
    <phoneticPr fontId="1"/>
  </si>
  <si>
    <t>午後茶</t>
    <rPh sb="0" eb="2">
      <t>ゴゴ</t>
    </rPh>
    <rPh sb="2" eb="3">
      <t>チャ</t>
    </rPh>
    <phoneticPr fontId="1"/>
  </si>
  <si>
    <t>精算</t>
    <rPh sb="0" eb="2">
      <t>セイサン</t>
    </rPh>
    <phoneticPr fontId="1"/>
  </si>
  <si>
    <t>コーヒー</t>
    <phoneticPr fontId="1"/>
  </si>
  <si>
    <t>黄：90　李梅：180</t>
    <rPh sb="0" eb="1">
      <t>コウ</t>
    </rPh>
    <rPh sb="5" eb="7">
      <t>リバイ</t>
    </rPh>
    <phoneticPr fontId="1"/>
  </si>
  <si>
    <t>張：63</t>
    <rPh sb="0" eb="1">
      <t>チョウ</t>
    </rPh>
    <phoneticPr fontId="1"/>
  </si>
  <si>
    <t>張：506</t>
    <rPh sb="0" eb="1">
      <t>チョウ</t>
    </rPh>
    <phoneticPr fontId="1"/>
  </si>
  <si>
    <t>入金</t>
    <rPh sb="0" eb="2">
      <t>ニュウ</t>
    </rPh>
    <phoneticPr fontId="1"/>
  </si>
  <si>
    <t>呉一凡：170</t>
    <rPh sb="0" eb="1">
      <t>ゴ</t>
    </rPh>
    <rPh sb="1" eb="2">
      <t>イチ</t>
    </rPh>
    <rPh sb="2" eb="3">
      <t>ハン</t>
    </rPh>
    <phoneticPr fontId="1"/>
  </si>
  <si>
    <t>昼ご飯</t>
    <rPh sb="0" eb="1">
      <t>ヒル</t>
    </rPh>
    <rPh sb="2" eb="3">
      <t>ハ</t>
    </rPh>
    <phoneticPr fontId="1"/>
  </si>
  <si>
    <t>昼ご飯（xin）</t>
    <rPh sb="0" eb="1">
      <t>ヒル</t>
    </rPh>
    <rPh sb="2" eb="3">
      <t>ハ</t>
    </rPh>
    <phoneticPr fontId="1"/>
  </si>
  <si>
    <t>張：45</t>
    <rPh sb="0" eb="1">
      <t>チョウ</t>
    </rPh>
    <phoneticPr fontId="1"/>
  </si>
  <si>
    <r>
      <t>支付核</t>
    </r>
    <r>
      <rPr>
        <sz val="11"/>
        <color theme="1"/>
        <rFont val="ＭＳ Ｐゴシック"/>
        <family val="3"/>
        <charset val="134"/>
        <scheme val="minor"/>
      </rPr>
      <t>销</t>
    </r>
    <phoneticPr fontId="1"/>
  </si>
  <si>
    <t>签证</t>
    <phoneticPr fontId="1"/>
  </si>
  <si>
    <r>
      <t>合</t>
    </r>
    <r>
      <rPr>
        <sz val="11"/>
        <color theme="1"/>
        <rFont val="ＭＳ Ｐゴシック"/>
        <family val="3"/>
        <charset val="134"/>
        <scheme val="minor"/>
      </rPr>
      <t>计</t>
    </r>
    <phoneticPr fontId="1"/>
  </si>
  <si>
    <t>張：26.3</t>
    <rPh sb="0" eb="1">
      <t>チョウ</t>
    </rPh>
    <phoneticPr fontId="1"/>
  </si>
  <si>
    <t>精算</t>
    <rPh sb="0" eb="2">
      <t>セイサン</t>
    </rPh>
    <phoneticPr fontId="1"/>
  </si>
  <si>
    <t>入金</t>
    <rPh sb="0" eb="2">
      <t>ニュウキ</t>
    </rPh>
    <phoneticPr fontId="1"/>
  </si>
  <si>
    <t>报销日期</t>
    <phoneticPr fontId="1"/>
  </si>
  <si>
    <r>
      <t>填</t>
    </r>
    <r>
      <rPr>
        <sz val="11"/>
        <color theme="1"/>
        <rFont val="ＭＳ Ｐゴシック"/>
        <family val="3"/>
        <charset val="134"/>
        <scheme val="minor"/>
      </rPr>
      <t>单</t>
    </r>
    <r>
      <rPr>
        <sz val="11"/>
        <color theme="1"/>
        <rFont val="ＭＳ Ｐゴシック"/>
        <family val="2"/>
        <scheme val="minor"/>
      </rPr>
      <t>日付</t>
    </r>
    <rPh sb="2" eb="4">
      <t>ヒズケ</t>
    </rPh>
    <phoneticPr fontId="1"/>
  </si>
  <si>
    <t>ユニクロ</t>
    <phoneticPr fontId="1"/>
  </si>
  <si>
    <t>張：29</t>
    <rPh sb="0" eb="1">
      <t>チョウ</t>
    </rPh>
    <phoneticPr fontId="1"/>
  </si>
  <si>
    <t>昼ご飯</t>
    <rPh sb="0" eb="1">
      <t>ヒル</t>
    </rPh>
    <phoneticPr fontId="1"/>
  </si>
  <si>
    <t>入金</t>
    <rPh sb="0" eb="2">
      <t>ニュウキン</t>
    </rPh>
    <phoneticPr fontId="1"/>
  </si>
  <si>
    <t>吴：30 徐磊：30</t>
    <phoneticPr fontId="1"/>
  </si>
  <si>
    <t>精算</t>
    <rPh sb="0" eb="2">
      <t>セイサン</t>
    </rPh>
    <phoneticPr fontId="1"/>
  </si>
  <si>
    <t>入金</t>
    <rPh sb="0" eb="2">
      <t>ニュウキン</t>
    </rPh>
    <phoneticPr fontId="1"/>
  </si>
  <si>
    <t>入金</t>
    <rPh sb="0" eb="2">
      <t>ニュウ</t>
    </rPh>
    <phoneticPr fontId="1"/>
  </si>
  <si>
    <t>スターバックス</t>
    <phoneticPr fontId="1"/>
  </si>
  <si>
    <t>昼ご飯</t>
    <rPh sb="0" eb="3">
      <t>ヒル</t>
    </rPh>
    <phoneticPr fontId="1"/>
  </si>
  <si>
    <t>入金</t>
    <rPh sb="0" eb="2">
      <t>ニュウキン</t>
    </rPh>
    <phoneticPr fontId="1"/>
  </si>
  <si>
    <t>コーヒー</t>
    <phoneticPr fontId="1"/>
  </si>
  <si>
    <t>スターバックス</t>
    <phoneticPr fontId="1"/>
  </si>
  <si>
    <t>水</t>
    <phoneticPr fontId="1"/>
  </si>
  <si>
    <t>コーヒー</t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</si>
  <si>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</si>
  <si>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</si>
  <si>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昼ご飯</t>
    <rPh sb="0" eb="3">
      <t>ヒル</t>
    </rPh>
    <phoneticPr fontId="1"/>
  </si>
  <si>
    <t>KFC</t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</si>
  <si>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</si>
  <si>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</si>
  <si>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ICE</t>
    <phoneticPr fontId="1"/>
  </si>
  <si>
    <t>昼ご飯</t>
    <rPh sb="0" eb="3">
      <t>ヒル</t>
    </rPh>
    <phoneticPr fontId="1"/>
  </si>
  <si>
    <t>コーヒー</t>
    <phoneticPr fontId="1"/>
  </si>
  <si>
    <t>KFC</t>
    <phoneticPr fontId="1"/>
  </si>
  <si>
    <t>スターバックス</t>
    <phoneticPr fontId="1"/>
  </si>
  <si>
    <t>精算</t>
    <rPh sb="0" eb="2">
      <t>セイサン</t>
    </rPh>
    <phoneticPr fontId="1"/>
  </si>
  <si>
    <t>コーヒー</t>
    <phoneticPr fontId="1"/>
  </si>
  <si>
    <t>KFC</t>
    <phoneticPr fontId="1"/>
  </si>
  <si>
    <t>精算</t>
    <rPh sb="0" eb="2">
      <t>セイサン</t>
    </rPh>
    <phoneticPr fontId="1"/>
  </si>
  <si>
    <t>劉：113　黄：56+72</t>
    <rPh sb="0" eb="1">
      <t>リュウ</t>
    </rPh>
    <rPh sb="6" eb="7">
      <t>コウ</t>
    </rPh>
    <phoneticPr fontId="1"/>
  </si>
  <si>
    <t>劉：65</t>
    <rPh sb="0" eb="2">
      <t>リュウ</t>
    </rPh>
    <phoneticPr fontId="1"/>
  </si>
  <si>
    <t>KFC</t>
    <phoneticPr fontId="1"/>
  </si>
  <si>
    <t>午後茶</t>
    <rPh sb="0" eb="3">
      <t>ゴゴチャ</t>
    </rPh>
    <phoneticPr fontId="1"/>
  </si>
  <si>
    <t>劉：60 黄：381.9</t>
    <rPh sb="0" eb="2">
      <t>リュウ</t>
    </rPh>
    <phoneticPr fontId="1"/>
  </si>
  <si>
    <t>吴：255 徐：133 黄：236</t>
    <rPh sb="0" eb="1">
      <t>ゴ</t>
    </rPh>
    <phoneticPr fontId="1"/>
  </si>
  <si>
    <t>KFC</t>
    <phoneticPr fontId="1"/>
  </si>
  <si>
    <t>スターバックス</t>
    <phoneticPr fontId="1"/>
  </si>
  <si>
    <t>スプリング</t>
    <phoneticPr fontId="1"/>
  </si>
  <si>
    <t>マウスパッド</t>
    <phoneticPr fontId="1"/>
  </si>
  <si>
    <t>昼ご飯</t>
    <rPh sb="0" eb="3">
      <t>ヒル</t>
    </rPh>
    <phoneticPr fontId="1"/>
  </si>
  <si>
    <t>ティッシュペーパー</t>
    <phoneticPr fontId="1"/>
  </si>
  <si>
    <t>精算</t>
    <rPh sb="0" eb="2">
      <t>セイサン</t>
    </rPh>
    <phoneticPr fontId="1"/>
  </si>
  <si>
    <t>吴：92</t>
    <phoneticPr fontId="1"/>
  </si>
  <si>
    <r>
      <rPr>
        <strike/>
        <sz val="11"/>
        <color theme="1"/>
        <rFont val="ＭＳ Ｐゴシック"/>
        <family val="3"/>
        <charset val="128"/>
        <scheme val="minor"/>
      </rPr>
      <t xml:space="preserve">朱：30+35 刘：513 黄：117.4 </t>
    </r>
    <r>
      <rPr>
        <strike/>
        <sz val="11"/>
        <color theme="1"/>
        <rFont val="ＭＳ Ｐゴシック"/>
        <family val="3"/>
        <charset val="134"/>
        <scheme val="minor"/>
      </rPr>
      <t>孙</t>
    </r>
    <r>
      <rPr>
        <strike/>
        <sz val="11"/>
        <color theme="1"/>
        <rFont val="ＭＳ Ｐゴシック"/>
        <family val="3"/>
        <charset val="128"/>
        <scheme val="minor"/>
      </rPr>
      <t>：32</t>
    </r>
    <phoneticPr fontId="1"/>
  </si>
  <si>
    <t>コーヒー</t>
    <phoneticPr fontId="1"/>
  </si>
  <si>
    <t>昼ご飯</t>
    <rPh sb="0" eb="3">
      <t>ヒル</t>
    </rPh>
    <phoneticPr fontId="1"/>
  </si>
  <si>
    <t>KFC</t>
    <phoneticPr fontId="1"/>
  </si>
  <si>
    <t>精算</t>
    <rPh sb="0" eb="2">
      <t>セイサン</t>
    </rPh>
    <phoneticPr fontId="1"/>
  </si>
  <si>
    <t>タクシー代</t>
    <rPh sb="4" eb="5">
      <t>ダイ</t>
    </rPh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</si>
  <si>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</si>
  <si>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</si>
  <si>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</si>
  <si>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朝食</t>
    <rPh sb="0" eb="2">
      <t>チョウショク</t>
    </rPh>
    <phoneticPr fontId="1"/>
  </si>
  <si>
    <t>KFC</t>
    <phoneticPr fontId="1"/>
  </si>
  <si>
    <t>KFC</t>
    <phoneticPr fontId="1"/>
  </si>
  <si>
    <t>入金</t>
    <rPh sb="0" eb="2">
      <t>ニュウキン</t>
    </rPh>
    <phoneticPr fontId="1"/>
  </si>
  <si>
    <t>日本円精算</t>
    <rPh sb="0" eb="3">
      <t>ニホンエン</t>
    </rPh>
    <rPh sb="3" eb="5">
      <t>セイサン</t>
    </rPh>
    <phoneticPr fontId="1"/>
  </si>
  <si>
    <t>らくらくティー</t>
    <phoneticPr fontId="1"/>
  </si>
  <si>
    <t>KFC</t>
    <phoneticPr fontId="1"/>
  </si>
  <si>
    <t>精算</t>
    <rPh sb="0" eb="2">
      <t>セイサン</t>
    </rPh>
    <phoneticPr fontId="1"/>
  </si>
  <si>
    <t>水</t>
    <phoneticPr fontId="1"/>
  </si>
  <si>
    <t>小玲：55 黄：60</t>
    <phoneticPr fontId="1"/>
  </si>
  <si>
    <t>スタンド</t>
    <phoneticPr fontId="1"/>
  </si>
  <si>
    <t>ファン</t>
    <phoneticPr fontId="1"/>
  </si>
  <si>
    <t>KFC</t>
    <phoneticPr fontId="1"/>
  </si>
  <si>
    <t>精算</t>
    <rPh sb="0" eb="2">
      <t>セイサン</t>
    </rPh>
    <phoneticPr fontId="1"/>
  </si>
  <si>
    <t>KFC</t>
    <phoneticPr fontId="1"/>
  </si>
  <si>
    <t>精算</t>
    <rPh sb="0" eb="2">
      <t>セイサン</t>
    </rPh>
    <phoneticPr fontId="1"/>
  </si>
  <si>
    <t>精算</t>
    <rPh sb="0" eb="2">
      <t>セイサン</t>
    </rPh>
    <phoneticPr fontId="1"/>
  </si>
  <si>
    <t>午後茶</t>
    <rPh sb="0" eb="3">
      <t>ゴゴ</t>
    </rPh>
    <phoneticPr fontId="1"/>
  </si>
  <si>
    <t>スターバックス</t>
    <phoneticPr fontId="1"/>
  </si>
  <si>
    <t>KFC</t>
    <phoneticPr fontId="1"/>
  </si>
  <si>
    <t>スターバックス</t>
    <phoneticPr fontId="1"/>
  </si>
  <si>
    <t>スターバックス</t>
    <phoneticPr fontId="1"/>
  </si>
  <si>
    <t>スターバックス</t>
    <phoneticPr fontId="1"/>
  </si>
  <si>
    <t>精算</t>
    <rPh sb="0" eb="2">
      <t>セイサ</t>
    </rPh>
    <phoneticPr fontId="1"/>
  </si>
  <si>
    <t>スターバックス</t>
    <phoneticPr fontId="1"/>
  </si>
  <si>
    <t>KFC</t>
    <phoneticPr fontId="1"/>
  </si>
  <si>
    <t>KFC</t>
    <phoneticPr fontId="1"/>
  </si>
  <si>
    <t>スターバックス</t>
    <phoneticPr fontId="1"/>
  </si>
  <si>
    <t>スターバックス</t>
    <phoneticPr fontId="1"/>
  </si>
  <si>
    <t>KFC</t>
    <phoneticPr fontId="1"/>
  </si>
  <si>
    <t>KFC</t>
    <phoneticPr fontId="1"/>
  </si>
  <si>
    <t>スターバックス</t>
    <phoneticPr fontId="1"/>
  </si>
  <si>
    <t>.</t>
    <phoneticPr fontId="1"/>
  </si>
  <si>
    <t>スターバックス</t>
    <phoneticPr fontId="1"/>
  </si>
  <si>
    <t>スターバックス</t>
    <phoneticPr fontId="1"/>
  </si>
  <si>
    <t>精算</t>
    <rPh sb="0" eb="2">
      <t>セイサン</t>
    </rPh>
    <phoneticPr fontId="1"/>
  </si>
  <si>
    <t>ファミリー</t>
    <phoneticPr fontId="1"/>
  </si>
  <si>
    <t>KFC</t>
    <phoneticPr fontId="1"/>
  </si>
  <si>
    <t>スターバックス</t>
    <phoneticPr fontId="1"/>
  </si>
  <si>
    <t>KFC</t>
    <phoneticPr fontId="1"/>
  </si>
  <si>
    <t>KFC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</si>
</sst>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_ "/>
  </numFmts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34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5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/>
    </xf>
    <xf numFmtId="56" fontId="0" fillId="0" borderId="0" xfId="0" applyNumberFormat="1" applyAlignment="1">
      <alignment horizontal="center"/>
    </xf>
    <xf numFmtId="55" fontId="0" fillId="0" borderId="0" xfId="0" applyNumberFormat="1"/>
    <xf numFmtId="56" fontId="0" fillId="0" borderId="3" xfId="0" applyNumberFormat="1" applyBorder="1" applyAlignment="1">
      <alignment horizontal="center"/>
    </xf>
    <xf numFmtId="0" fontId="0" fillId="0" borderId="4" xfId="0" applyBorder="1"/>
    <xf numFmtId="56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/>
    <xf numFmtId="56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56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0" xfId="0" applyBorder="1" applyAlignment="1">
      <alignment horizontal="left"/>
    </xf>
    <xf numFmtId="0" fontId="0" fillId="2" borderId="7" xfId="0" applyFill="1" applyBorder="1"/>
    <xf numFmtId="14" fontId="0" fillId="2" borderId="7" xfId="0" applyNumberFormat="1" applyFill="1" applyBorder="1"/>
    <xf numFmtId="0" fontId="0" fillId="0" borderId="7" xfId="0" applyFill="1" applyBorder="1"/>
    <xf numFmtId="14" fontId="0" fillId="0" borderId="7" xfId="0" applyNumberFormat="1" applyFill="1" applyBorder="1"/>
    <xf numFmtId="14" fontId="0" fillId="0" borderId="7" xfId="0" applyNumberFormat="1" applyBorder="1"/>
    <xf numFmtId="0" fontId="0" fillId="3" borderId="7" xfId="0" applyFill="1" applyBorder="1"/>
    <xf numFmtId="0" fontId="4" fillId="2" borderId="7" xfId="0" applyFont="1" applyFill="1" applyBorder="1"/>
    <xf numFmtId="0" fontId="0" fillId="4" borderId="7" xfId="0" applyFill="1" applyBorder="1"/>
    <xf numFmtId="0" fontId="3" fillId="4" borderId="7" xfId="0" applyFont="1" applyFill="1" applyBorder="1"/>
    <xf numFmtId="0" fontId="0" fillId="0" borderId="4" xfId="0" applyFill="1" applyBorder="1"/>
    <xf numFmtId="0" fontId="3" fillId="2" borderId="7" xfId="0" applyFont="1" applyFill="1" applyBorder="1"/>
    <xf numFmtId="176" fontId="0" fillId="2" borderId="0" xfId="0" applyNumberFormat="1" applyFill="1"/>
    <xf numFmtId="0" fontId="0" fillId="2" borderId="0" xfId="0" applyFill="1"/>
    <xf numFmtId="0" fontId="6" fillId="2" borderId="7" xfId="0" applyFont="1" applyFill="1" applyBorder="1"/>
    <xf numFmtId="56" fontId="0" fillId="2" borderId="3" xfId="0" applyNumberFormat="1" applyFill="1" applyBorder="1" applyAlignment="1">
      <alignment horizontal="left"/>
    </xf>
    <xf numFmtId="0" fontId="0" fillId="2" borderId="4" xfId="0" applyFill="1" applyBorder="1"/>
    <xf numFmtId="56" fontId="0" fillId="0" borderId="3" xfId="0" applyNumberFormat="1" applyFill="1" applyBorder="1" applyAlignment="1">
      <alignment horizontal="left"/>
    </xf>
    <xf numFmtId="0" fontId="0" fillId="0" borderId="0" xfId="0" applyFill="1"/>
    <xf numFmtId="177" fontId="0" fillId="0" borderId="3" xfId="0" applyNumberFormat="1" applyBorder="1" applyAlignment="1">
      <alignment horizontal="center"/>
    </xf>
    <xf numFmtId="177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3" xfId="0" applyNumberFormat="1" applyBorder="1" applyAlignment="1">
      <alignment horizontal="center"/>
    </xf>
    <xf numFmtId="176" fontId="0" fillId="0" borderId="4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257"/>
  <sheetViews>
    <sheetView tabSelected="1" zoomScaleNormal="100" workbookViewId="0">
      <selection activeCell="A272" sqref="A272"/>
    </sheetView>
  </sheetViews>
  <sheetFormatPr defaultRowHeight="13.5" outlineLevelRow="2" x14ac:dyDescent="0.15"/>
  <cols>
    <col min="1" max="1" width="11.375" bestFit="1" customWidth="1"/>
    <col min="2" max="2" width="0" hidden="1" customWidth="1"/>
  </cols>
  <sheetData>
    <row r="1" spans="1:7" x14ac:dyDescent="0.15">
      <c r="B1" s="2" t="s">
        <v>1</v>
      </c>
      <c r="C1" s="2" t="s">
        <v>2</v>
      </c>
      <c r="D1" s="2" t="s">
        <v>12</v>
      </c>
      <c r="E1" s="2" t="s">
        <v>13</v>
      </c>
      <c r="F1" s="2" t="s">
        <v>175</v>
      </c>
      <c r="G1" s="2" t="s">
        <v>187</v>
      </c>
    </row>
    <row r="2" spans="1:7" x14ac:dyDescent="0.15">
      <c r="A2" t="s">
        <v>11</v>
      </c>
      <c r="B2" s="16">
        <f t="shared" ref="B2:E2" si="0">SUM(B3:B930)</f>
        <v>0</v>
      </c>
      <c r="C2" s="16">
        <f t="shared" si="0"/>
        <v>9.9999999999681677E-2</v>
      </c>
      <c r="D2" s="16">
        <f t="shared" si="0"/>
        <v>106.4</v>
      </c>
      <c r="E2" s="16">
        <f t="shared" si="0"/>
        <v>-301</v>
      </c>
      <c r="F2" s="16">
        <f t="shared" ref="F2:G2" si="1">SUM(F3:F930)</f>
        <v>231.3</v>
      </c>
      <c r="G2" s="16">
        <f t="shared" si="1"/>
        <v>21.30000000000004</v>
      </c>
    </row>
    <row r="3" spans="1:7" x14ac:dyDescent="0.15">
      <c r="A3" t="s">
        <v>0</v>
      </c>
      <c r="B3">
        <f>15+32-10-57</f>
        <v>-20</v>
      </c>
      <c r="C3">
        <f>11.5-19-22-90</f>
        <v>-119.5</v>
      </c>
      <c r="E3">
        <v>3500</v>
      </c>
    </row>
    <row r="4" spans="1:7" x14ac:dyDescent="0.15">
      <c r="A4" s="6">
        <v>42736</v>
      </c>
    </row>
    <row r="5" spans="1:7" hidden="1" outlineLevel="1" x14ac:dyDescent="0.15">
      <c r="A5" s="1">
        <v>42736</v>
      </c>
    </row>
    <row r="6" spans="1:7" hidden="1" outlineLevel="2" x14ac:dyDescent="0.15">
      <c r="A6" s="1">
        <v>42737</v>
      </c>
    </row>
    <row r="7" spans="1:7" hidden="1" outlineLevel="2" x14ac:dyDescent="0.15">
      <c r="A7" s="1">
        <v>42738</v>
      </c>
    </row>
    <row r="8" spans="1:7" hidden="1" outlineLevel="2" x14ac:dyDescent="0.15">
      <c r="A8" s="1">
        <v>42739</v>
      </c>
    </row>
    <row r="9" spans="1:7" hidden="1" outlineLevel="2" x14ac:dyDescent="0.15">
      <c r="A9" s="1">
        <v>42740</v>
      </c>
    </row>
    <row r="10" spans="1:7" hidden="1" outlineLevel="2" x14ac:dyDescent="0.15">
      <c r="A10" s="1">
        <v>42741</v>
      </c>
    </row>
    <row r="11" spans="1:7" hidden="1" outlineLevel="2" x14ac:dyDescent="0.15">
      <c r="A11" s="1">
        <v>42742</v>
      </c>
    </row>
    <row r="12" spans="1:7" hidden="1" outlineLevel="2" x14ac:dyDescent="0.15">
      <c r="A12" s="1">
        <v>42743</v>
      </c>
    </row>
    <row r="13" spans="1:7" hidden="1" outlineLevel="2" x14ac:dyDescent="0.15">
      <c r="A13" s="1">
        <v>42744</v>
      </c>
    </row>
    <row r="14" spans="1:7" hidden="1" outlineLevel="2" x14ac:dyDescent="0.15">
      <c r="A14" s="1">
        <v>42745</v>
      </c>
    </row>
    <row r="15" spans="1:7" hidden="1" outlineLevel="2" x14ac:dyDescent="0.15">
      <c r="A15" s="1">
        <v>42746</v>
      </c>
    </row>
    <row r="16" spans="1:7" hidden="1" outlineLevel="2" x14ac:dyDescent="0.15">
      <c r="A16" s="1">
        <v>42747</v>
      </c>
    </row>
    <row r="17" spans="1:3" hidden="1" outlineLevel="2" x14ac:dyDescent="0.15">
      <c r="A17" s="1">
        <v>42748</v>
      </c>
    </row>
    <row r="18" spans="1:3" hidden="1" outlineLevel="2" x14ac:dyDescent="0.15">
      <c r="A18" s="1">
        <v>42749</v>
      </c>
    </row>
    <row r="19" spans="1:3" hidden="1" outlineLevel="2" x14ac:dyDescent="0.15">
      <c r="A19" s="1">
        <v>42750</v>
      </c>
    </row>
    <row r="20" spans="1:3" hidden="1" outlineLevel="2" x14ac:dyDescent="0.15">
      <c r="A20" s="1">
        <v>42751</v>
      </c>
    </row>
    <row r="21" spans="1:3" hidden="1" outlineLevel="2" x14ac:dyDescent="0.15">
      <c r="A21" s="1">
        <v>42752</v>
      </c>
    </row>
    <row r="22" spans="1:3" hidden="1" outlineLevel="2" x14ac:dyDescent="0.15">
      <c r="A22" s="1">
        <v>42753</v>
      </c>
    </row>
    <row r="23" spans="1:3" hidden="1" outlineLevel="2" x14ac:dyDescent="0.15">
      <c r="A23" s="1">
        <v>42754</v>
      </c>
    </row>
    <row r="24" spans="1:3" hidden="1" outlineLevel="2" x14ac:dyDescent="0.15">
      <c r="A24" s="1">
        <v>42755</v>
      </c>
    </row>
    <row r="25" spans="1:3" hidden="1" outlineLevel="2" x14ac:dyDescent="0.15">
      <c r="A25" s="1">
        <v>42756</v>
      </c>
    </row>
    <row r="26" spans="1:3" hidden="1" outlineLevel="2" x14ac:dyDescent="0.15">
      <c r="A26" s="1">
        <v>42757</v>
      </c>
    </row>
    <row r="27" spans="1:3" hidden="1" outlineLevel="2" x14ac:dyDescent="0.15">
      <c r="A27" s="1">
        <v>42758</v>
      </c>
      <c r="B27">
        <v>12</v>
      </c>
      <c r="C27">
        <v>13</v>
      </c>
    </row>
    <row r="28" spans="1:3" hidden="1" outlineLevel="2" x14ac:dyDescent="0.15">
      <c r="A28" s="1">
        <v>42759</v>
      </c>
      <c r="C28">
        <v>-26</v>
      </c>
    </row>
    <row r="29" spans="1:3" hidden="1" outlineLevel="2" x14ac:dyDescent="0.15">
      <c r="A29" s="1">
        <v>42760</v>
      </c>
      <c r="B29">
        <v>8</v>
      </c>
      <c r="C29">
        <v>14</v>
      </c>
    </row>
    <row r="30" spans="1:3" hidden="1" outlineLevel="2" x14ac:dyDescent="0.15">
      <c r="A30" s="1">
        <v>42761</v>
      </c>
      <c r="C30">
        <v>-186</v>
      </c>
    </row>
    <row r="31" spans="1:3" hidden="1" outlineLevel="2" x14ac:dyDescent="0.15">
      <c r="A31" s="1">
        <v>42762</v>
      </c>
    </row>
    <row r="32" spans="1:3" hidden="1" outlineLevel="2" x14ac:dyDescent="0.15">
      <c r="A32" s="1">
        <v>42763</v>
      </c>
    </row>
    <row r="33" spans="1:4" hidden="1" outlineLevel="2" x14ac:dyDescent="0.15">
      <c r="A33" s="1">
        <v>42764</v>
      </c>
    </row>
    <row r="34" spans="1:4" hidden="1" outlineLevel="2" x14ac:dyDescent="0.15">
      <c r="A34" s="1">
        <v>42765</v>
      </c>
    </row>
    <row r="35" spans="1:4" hidden="1" outlineLevel="2" x14ac:dyDescent="0.15">
      <c r="A35" s="1">
        <v>42766</v>
      </c>
    </row>
    <row r="36" spans="1:4" hidden="1" outlineLevel="1" x14ac:dyDescent="0.15">
      <c r="A36" s="1">
        <v>42767</v>
      </c>
      <c r="C36">
        <v>14</v>
      </c>
    </row>
    <row r="37" spans="1:4" hidden="1" outlineLevel="2" x14ac:dyDescent="0.15">
      <c r="A37" s="1">
        <v>42768</v>
      </c>
      <c r="B37">
        <f>8-8</f>
        <v>0</v>
      </c>
      <c r="D37">
        <f>8-8</f>
        <v>0</v>
      </c>
    </row>
    <row r="38" spans="1:4" hidden="1" outlineLevel="2" x14ac:dyDescent="0.15">
      <c r="A38" s="1">
        <v>42769</v>
      </c>
    </row>
    <row r="39" spans="1:4" hidden="1" outlineLevel="2" x14ac:dyDescent="0.15">
      <c r="A39" s="1">
        <v>42770</v>
      </c>
    </row>
    <row r="40" spans="1:4" hidden="1" outlineLevel="2" x14ac:dyDescent="0.15">
      <c r="A40" s="1">
        <v>42771</v>
      </c>
      <c r="C40">
        <f>-44+100</f>
        <v>56</v>
      </c>
    </row>
    <row r="41" spans="1:4" hidden="1" outlineLevel="2" x14ac:dyDescent="0.15">
      <c r="A41" s="1">
        <v>42772</v>
      </c>
    </row>
    <row r="42" spans="1:4" hidden="1" outlineLevel="2" x14ac:dyDescent="0.15">
      <c r="A42" s="1">
        <v>42773</v>
      </c>
      <c r="B42">
        <v>8</v>
      </c>
      <c r="C42">
        <v>-17</v>
      </c>
      <c r="D42">
        <v>8</v>
      </c>
    </row>
    <row r="43" spans="1:4" hidden="1" outlineLevel="2" x14ac:dyDescent="0.15">
      <c r="A43" s="1">
        <v>42774</v>
      </c>
      <c r="B43">
        <v>8</v>
      </c>
      <c r="C43">
        <v>-33</v>
      </c>
      <c r="D43">
        <v>8</v>
      </c>
    </row>
    <row r="44" spans="1:4" hidden="1" outlineLevel="2" x14ac:dyDescent="0.15">
      <c r="A44" s="1">
        <v>42775</v>
      </c>
    </row>
    <row r="45" spans="1:4" hidden="1" outlineLevel="2" x14ac:dyDescent="0.15">
      <c r="A45" s="1">
        <v>42776</v>
      </c>
    </row>
    <row r="46" spans="1:4" hidden="1" outlineLevel="2" x14ac:dyDescent="0.15">
      <c r="A46" s="1">
        <v>42777</v>
      </c>
    </row>
    <row r="47" spans="1:4" hidden="1" outlineLevel="2" x14ac:dyDescent="0.15">
      <c r="A47" s="1">
        <v>42778</v>
      </c>
    </row>
    <row r="48" spans="1:4" hidden="1" outlineLevel="2" x14ac:dyDescent="0.15">
      <c r="A48" s="1">
        <v>42779</v>
      </c>
    </row>
    <row r="49" spans="1:5" hidden="1" outlineLevel="2" x14ac:dyDescent="0.15">
      <c r="A49" s="1">
        <v>42780</v>
      </c>
    </row>
    <row r="50" spans="1:5" hidden="1" outlineLevel="2" x14ac:dyDescent="0.15">
      <c r="A50" s="1">
        <v>42781</v>
      </c>
    </row>
    <row r="51" spans="1:5" hidden="1" outlineLevel="2" x14ac:dyDescent="0.15">
      <c r="A51" s="1">
        <v>42782</v>
      </c>
      <c r="B51">
        <v>7</v>
      </c>
      <c r="D51">
        <v>8</v>
      </c>
    </row>
    <row r="52" spans="1:5" hidden="1" outlineLevel="2" x14ac:dyDescent="0.15">
      <c r="A52" s="1">
        <v>42783</v>
      </c>
      <c r="B52">
        <v>7</v>
      </c>
      <c r="D52">
        <v>8</v>
      </c>
    </row>
    <row r="53" spans="1:5" hidden="1" outlineLevel="2" x14ac:dyDescent="0.15">
      <c r="A53" s="1">
        <v>42784</v>
      </c>
    </row>
    <row r="54" spans="1:5" hidden="1" outlineLevel="2" x14ac:dyDescent="0.15">
      <c r="A54" s="1">
        <v>42785</v>
      </c>
    </row>
    <row r="55" spans="1:5" hidden="1" outlineLevel="2" x14ac:dyDescent="0.15">
      <c r="A55" s="1">
        <v>42786</v>
      </c>
    </row>
    <row r="56" spans="1:5" hidden="1" outlineLevel="2" x14ac:dyDescent="0.15">
      <c r="A56" s="1">
        <v>42787</v>
      </c>
      <c r="B56">
        <v>8</v>
      </c>
      <c r="D56">
        <v>8</v>
      </c>
    </row>
    <row r="57" spans="1:5" hidden="1" outlineLevel="2" x14ac:dyDescent="0.15">
      <c r="A57" s="1">
        <v>42788</v>
      </c>
      <c r="B57">
        <v>8</v>
      </c>
      <c r="E57">
        <v>9.5</v>
      </c>
    </row>
    <row r="58" spans="1:5" hidden="1" outlineLevel="2" x14ac:dyDescent="0.15">
      <c r="A58" s="1">
        <v>42789</v>
      </c>
      <c r="B58">
        <f>4+13</f>
        <v>17</v>
      </c>
      <c r="C58">
        <v>14</v>
      </c>
      <c r="E58">
        <f>9.5+8.5+12</f>
        <v>30</v>
      </c>
    </row>
    <row r="59" spans="1:5" hidden="1" outlineLevel="2" x14ac:dyDescent="0.15">
      <c r="A59" s="1">
        <v>42790</v>
      </c>
      <c r="B59">
        <v>9</v>
      </c>
      <c r="C59">
        <v>10</v>
      </c>
    </row>
    <row r="60" spans="1:5" hidden="1" outlineLevel="2" x14ac:dyDescent="0.15">
      <c r="A60" s="1">
        <v>42791</v>
      </c>
    </row>
    <row r="61" spans="1:5" hidden="1" outlineLevel="2" x14ac:dyDescent="0.15">
      <c r="A61" s="1">
        <v>42792</v>
      </c>
    </row>
    <row r="62" spans="1:5" hidden="1" outlineLevel="2" x14ac:dyDescent="0.15">
      <c r="A62" s="1">
        <v>42793</v>
      </c>
      <c r="B62">
        <f>13-2.5</f>
        <v>10.5</v>
      </c>
      <c r="D62">
        <v>8</v>
      </c>
    </row>
    <row r="63" spans="1:5" hidden="1" outlineLevel="2" x14ac:dyDescent="0.15">
      <c r="A63" s="1">
        <v>42794</v>
      </c>
      <c r="C63">
        <v>13</v>
      </c>
      <c r="D63">
        <f>52-100</f>
        <v>-48</v>
      </c>
      <c r="E63">
        <v>52</v>
      </c>
    </row>
    <row r="64" spans="1:5" hidden="1" outlineLevel="1" x14ac:dyDescent="0.15">
      <c r="A64" s="1">
        <v>42795</v>
      </c>
      <c r="B64">
        <v>12</v>
      </c>
    </row>
    <row r="65" spans="1:5" hidden="1" outlineLevel="2" x14ac:dyDescent="0.15">
      <c r="A65" s="1">
        <v>42796</v>
      </c>
      <c r="B65">
        <v>-47.5</v>
      </c>
      <c r="C65">
        <v>-118</v>
      </c>
    </row>
    <row r="66" spans="1:5" hidden="1" outlineLevel="2" x14ac:dyDescent="0.15">
      <c r="A66" s="1">
        <v>42797</v>
      </c>
      <c r="B66">
        <v>12</v>
      </c>
      <c r="C66">
        <v>16</v>
      </c>
    </row>
    <row r="67" spans="1:5" hidden="1" outlineLevel="2" x14ac:dyDescent="0.15">
      <c r="A67" s="1">
        <v>42798</v>
      </c>
    </row>
    <row r="68" spans="1:5" hidden="1" outlineLevel="2" x14ac:dyDescent="0.15">
      <c r="A68" s="1">
        <v>42799</v>
      </c>
    </row>
    <row r="69" spans="1:5" hidden="1" outlineLevel="2" x14ac:dyDescent="0.15">
      <c r="A69" s="1">
        <v>42800</v>
      </c>
      <c r="B69">
        <f>15-75</f>
        <v>-60</v>
      </c>
      <c r="C69">
        <v>10</v>
      </c>
    </row>
    <row r="70" spans="1:5" hidden="1" outlineLevel="2" x14ac:dyDescent="0.15">
      <c r="A70" s="1">
        <v>42801</v>
      </c>
      <c r="D70">
        <v>15</v>
      </c>
      <c r="E70">
        <v>13</v>
      </c>
    </row>
    <row r="71" spans="1:5" hidden="1" outlineLevel="2" x14ac:dyDescent="0.15">
      <c r="A71" s="1">
        <v>42802</v>
      </c>
    </row>
    <row r="72" spans="1:5" hidden="1" outlineLevel="2" x14ac:dyDescent="0.15">
      <c r="A72" s="1">
        <v>42803</v>
      </c>
      <c r="B72">
        <v>15</v>
      </c>
      <c r="D72">
        <v>15</v>
      </c>
      <c r="E72">
        <v>13</v>
      </c>
    </row>
    <row r="73" spans="1:5" hidden="1" outlineLevel="2" x14ac:dyDescent="0.15">
      <c r="A73" s="1">
        <v>42804</v>
      </c>
      <c r="B73">
        <f>4.5-6+12</f>
        <v>10.5</v>
      </c>
      <c r="C73">
        <v>13</v>
      </c>
      <c r="E73">
        <v>9.5</v>
      </c>
    </row>
    <row r="74" spans="1:5" hidden="1" outlineLevel="2" x14ac:dyDescent="0.15">
      <c r="A74" s="1">
        <v>42805</v>
      </c>
    </row>
    <row r="75" spans="1:5" hidden="1" outlineLevel="2" x14ac:dyDescent="0.15">
      <c r="A75" s="1">
        <v>42806</v>
      </c>
    </row>
    <row r="76" spans="1:5" hidden="1" outlineLevel="2" x14ac:dyDescent="0.15">
      <c r="A76" s="1">
        <v>42807</v>
      </c>
      <c r="B76">
        <f>5.5+18.5</f>
        <v>24</v>
      </c>
      <c r="D76">
        <v>5.5</v>
      </c>
      <c r="E76">
        <v>9.5</v>
      </c>
    </row>
    <row r="77" spans="1:5" hidden="1" outlineLevel="2" x14ac:dyDescent="0.15">
      <c r="A77" s="1">
        <v>42808</v>
      </c>
      <c r="D77">
        <v>5.5</v>
      </c>
      <c r="E77">
        <v>9.5</v>
      </c>
    </row>
    <row r="78" spans="1:5" hidden="1" outlineLevel="2" x14ac:dyDescent="0.15">
      <c r="A78" s="1">
        <v>42809</v>
      </c>
      <c r="C78">
        <v>21</v>
      </c>
      <c r="E78">
        <v>26</v>
      </c>
    </row>
    <row r="79" spans="1:5" hidden="1" outlineLevel="2" x14ac:dyDescent="0.15">
      <c r="A79" s="1">
        <v>42810</v>
      </c>
      <c r="B79">
        <v>30</v>
      </c>
      <c r="D79">
        <v>15</v>
      </c>
    </row>
    <row r="80" spans="1:5" hidden="1" outlineLevel="2" x14ac:dyDescent="0.15">
      <c r="A80" s="1">
        <v>42811</v>
      </c>
      <c r="E80">
        <v>-9.5</v>
      </c>
    </row>
    <row r="81" spans="1:5" hidden="1" outlineLevel="2" x14ac:dyDescent="0.15">
      <c r="A81" s="1">
        <v>42812</v>
      </c>
    </row>
    <row r="82" spans="1:5" hidden="1" outlineLevel="2" x14ac:dyDescent="0.15">
      <c r="A82" s="1">
        <v>42813</v>
      </c>
    </row>
    <row r="83" spans="1:5" hidden="1" outlineLevel="2" x14ac:dyDescent="0.15">
      <c r="A83" s="1">
        <v>42814</v>
      </c>
    </row>
    <row r="84" spans="1:5" hidden="1" outlineLevel="2" x14ac:dyDescent="0.15">
      <c r="A84" s="1">
        <v>42815</v>
      </c>
      <c r="B84">
        <f>13-100</f>
        <v>-87</v>
      </c>
    </row>
    <row r="85" spans="1:5" hidden="1" outlineLevel="2" x14ac:dyDescent="0.15">
      <c r="A85" s="1">
        <v>42816</v>
      </c>
      <c r="C85">
        <v>13</v>
      </c>
      <c r="D85">
        <v>5.5</v>
      </c>
      <c r="E85">
        <v>9.5</v>
      </c>
    </row>
    <row r="86" spans="1:5" hidden="1" outlineLevel="2" x14ac:dyDescent="0.15">
      <c r="A86" s="1">
        <v>42817</v>
      </c>
      <c r="B86">
        <v>14</v>
      </c>
      <c r="C86">
        <v>13</v>
      </c>
    </row>
    <row r="87" spans="1:5" hidden="1" outlineLevel="2" x14ac:dyDescent="0.15">
      <c r="A87" s="1">
        <v>42818</v>
      </c>
      <c r="C87">
        <v>13</v>
      </c>
    </row>
    <row r="88" spans="1:5" hidden="1" outlineLevel="2" x14ac:dyDescent="0.15">
      <c r="A88" s="1">
        <v>42819</v>
      </c>
    </row>
    <row r="89" spans="1:5" hidden="1" outlineLevel="2" x14ac:dyDescent="0.15">
      <c r="A89" s="1">
        <v>42820</v>
      </c>
    </row>
    <row r="90" spans="1:5" hidden="1" outlineLevel="2" x14ac:dyDescent="0.15">
      <c r="A90" s="1">
        <v>42821</v>
      </c>
      <c r="B90">
        <v>11</v>
      </c>
      <c r="C90">
        <v>13</v>
      </c>
    </row>
    <row r="91" spans="1:5" hidden="1" outlineLevel="2" x14ac:dyDescent="0.15">
      <c r="A91" s="1">
        <v>42822</v>
      </c>
      <c r="C91">
        <v>13</v>
      </c>
      <c r="D91">
        <f>5.5+15</f>
        <v>20.5</v>
      </c>
      <c r="E91">
        <f>9.5-25</f>
        <v>-15.5</v>
      </c>
    </row>
    <row r="92" spans="1:5" hidden="1" outlineLevel="2" x14ac:dyDescent="0.15">
      <c r="A92" s="1">
        <v>42823</v>
      </c>
      <c r="B92">
        <v>6</v>
      </c>
      <c r="C92">
        <v>13</v>
      </c>
      <c r="D92">
        <f>5.5-100</f>
        <v>-94.5</v>
      </c>
      <c r="E92">
        <f>9.5+13</f>
        <v>22.5</v>
      </c>
    </row>
    <row r="93" spans="1:5" hidden="1" outlineLevel="2" x14ac:dyDescent="0.15">
      <c r="A93" s="1">
        <v>42824</v>
      </c>
      <c r="C93">
        <f>26+13</f>
        <v>39</v>
      </c>
    </row>
    <row r="94" spans="1:5" hidden="1" outlineLevel="2" x14ac:dyDescent="0.15">
      <c r="A94" s="1">
        <v>42825</v>
      </c>
      <c r="C94">
        <v>38</v>
      </c>
    </row>
    <row r="95" spans="1:5" hidden="1" outlineLevel="1" x14ac:dyDescent="0.15">
      <c r="A95" s="1">
        <v>42826</v>
      </c>
    </row>
    <row r="96" spans="1:5" hidden="1" outlineLevel="2" x14ac:dyDescent="0.15">
      <c r="A96" s="1">
        <v>42827</v>
      </c>
    </row>
    <row r="97" spans="1:5" hidden="1" outlineLevel="2" x14ac:dyDescent="0.15">
      <c r="A97" s="1">
        <v>42828</v>
      </c>
      <c r="C97">
        <v>13</v>
      </c>
      <c r="D97">
        <v>15</v>
      </c>
    </row>
    <row r="98" spans="1:5" hidden="1" outlineLevel="2" x14ac:dyDescent="0.15">
      <c r="A98" s="1">
        <v>42829</v>
      </c>
    </row>
    <row r="99" spans="1:5" hidden="1" outlineLevel="2" x14ac:dyDescent="0.15">
      <c r="A99" s="1">
        <v>42830</v>
      </c>
    </row>
    <row r="100" spans="1:5" hidden="1" outlineLevel="2" x14ac:dyDescent="0.15">
      <c r="A100" s="1">
        <v>42831</v>
      </c>
      <c r="B100">
        <f>-14+42</f>
        <v>28</v>
      </c>
      <c r="C100">
        <f>13+14</f>
        <v>27</v>
      </c>
      <c r="D100">
        <v>42</v>
      </c>
    </row>
    <row r="101" spans="1:5" hidden="1" outlineLevel="2" x14ac:dyDescent="0.15">
      <c r="A101" s="1">
        <v>42832</v>
      </c>
      <c r="B101">
        <v>12.5</v>
      </c>
      <c r="C101">
        <v>13</v>
      </c>
      <c r="D101">
        <v>12.5</v>
      </c>
    </row>
    <row r="102" spans="1:5" hidden="1" outlineLevel="2" x14ac:dyDescent="0.15">
      <c r="A102" s="1">
        <v>42833</v>
      </c>
    </row>
    <row r="103" spans="1:5" hidden="1" outlineLevel="2" x14ac:dyDescent="0.15">
      <c r="A103" s="1">
        <v>42834</v>
      </c>
    </row>
    <row r="104" spans="1:5" hidden="1" outlineLevel="2" x14ac:dyDescent="0.15">
      <c r="A104" s="1">
        <v>42835</v>
      </c>
      <c r="B104">
        <v>57</v>
      </c>
      <c r="C104">
        <v>13</v>
      </c>
      <c r="D104">
        <v>8.8000000000000007</v>
      </c>
      <c r="E104">
        <v>-679</v>
      </c>
    </row>
    <row r="105" spans="1:5" hidden="1" outlineLevel="2" x14ac:dyDescent="0.15">
      <c r="A105" s="1">
        <v>42836</v>
      </c>
      <c r="B105">
        <f>18-100</f>
        <v>-82</v>
      </c>
      <c r="C105">
        <v>13</v>
      </c>
    </row>
    <row r="106" spans="1:5" hidden="1" outlineLevel="2" x14ac:dyDescent="0.15">
      <c r="A106" s="1">
        <v>42837</v>
      </c>
      <c r="E106">
        <v>-52</v>
      </c>
    </row>
    <row r="107" spans="1:5" hidden="1" outlineLevel="2" x14ac:dyDescent="0.15">
      <c r="A107" s="1">
        <v>42838</v>
      </c>
      <c r="B107">
        <v>9</v>
      </c>
      <c r="C107">
        <v>9</v>
      </c>
      <c r="D107">
        <v>9</v>
      </c>
    </row>
    <row r="108" spans="1:5" hidden="1" outlineLevel="2" x14ac:dyDescent="0.15">
      <c r="A108" s="1">
        <v>42839</v>
      </c>
    </row>
    <row r="109" spans="1:5" hidden="1" outlineLevel="2" x14ac:dyDescent="0.15">
      <c r="A109" s="1">
        <v>42840</v>
      </c>
    </row>
    <row r="110" spans="1:5" hidden="1" outlineLevel="2" x14ac:dyDescent="0.15">
      <c r="A110" s="1">
        <v>42841</v>
      </c>
    </row>
    <row r="111" spans="1:5" hidden="1" outlineLevel="2" x14ac:dyDescent="0.15">
      <c r="A111" s="1">
        <v>42842</v>
      </c>
      <c r="C111">
        <v>13</v>
      </c>
    </row>
    <row r="112" spans="1:5" hidden="1" outlineLevel="2" x14ac:dyDescent="0.15">
      <c r="A112" s="1">
        <v>42843</v>
      </c>
      <c r="C112">
        <v>13</v>
      </c>
      <c r="E112">
        <v>9.5</v>
      </c>
    </row>
    <row r="113" spans="1:5" hidden="1" outlineLevel="2" x14ac:dyDescent="0.15">
      <c r="A113" s="1">
        <v>42844</v>
      </c>
      <c r="B113">
        <v>8</v>
      </c>
      <c r="C113">
        <v>13</v>
      </c>
    </row>
    <row r="114" spans="1:5" hidden="1" outlineLevel="2" x14ac:dyDescent="0.15">
      <c r="A114" s="1">
        <v>42845</v>
      </c>
      <c r="C114">
        <v>13</v>
      </c>
    </row>
    <row r="115" spans="1:5" hidden="1" outlineLevel="2" x14ac:dyDescent="0.15">
      <c r="A115" s="1">
        <v>42846</v>
      </c>
      <c r="B115">
        <f>28+8</f>
        <v>36</v>
      </c>
    </row>
    <row r="116" spans="1:5" hidden="1" outlineLevel="2" x14ac:dyDescent="0.15">
      <c r="A116" s="1">
        <v>42847</v>
      </c>
    </row>
    <row r="117" spans="1:5" hidden="1" outlineLevel="2" x14ac:dyDescent="0.15">
      <c r="A117" s="1">
        <v>42848</v>
      </c>
    </row>
    <row r="118" spans="1:5" hidden="1" outlineLevel="2" x14ac:dyDescent="0.15">
      <c r="A118" s="1">
        <v>42849</v>
      </c>
      <c r="D118">
        <v>4</v>
      </c>
      <c r="E118">
        <f>9.5+4</f>
        <v>13.5</v>
      </c>
    </row>
    <row r="119" spans="1:5" hidden="1" outlineLevel="2" x14ac:dyDescent="0.15">
      <c r="A119" s="1">
        <v>42850</v>
      </c>
      <c r="C119">
        <v>13</v>
      </c>
      <c r="E119">
        <v>-9.5</v>
      </c>
    </row>
    <row r="120" spans="1:5" hidden="1" outlineLevel="2" x14ac:dyDescent="0.15">
      <c r="A120" s="1">
        <v>42851</v>
      </c>
      <c r="B120">
        <v>20</v>
      </c>
      <c r="C120">
        <v>10</v>
      </c>
      <c r="E120">
        <v>-14</v>
      </c>
    </row>
    <row r="121" spans="1:5" hidden="1" outlineLevel="2" x14ac:dyDescent="0.15">
      <c r="A121" s="1">
        <v>42852</v>
      </c>
      <c r="C121">
        <v>-18</v>
      </c>
    </row>
    <row r="122" spans="1:5" hidden="1" outlineLevel="2" x14ac:dyDescent="0.15">
      <c r="A122" s="1">
        <v>42853</v>
      </c>
      <c r="B122">
        <v>-100</v>
      </c>
    </row>
    <row r="123" spans="1:5" hidden="1" outlineLevel="2" x14ac:dyDescent="0.15">
      <c r="A123" s="1">
        <v>42854</v>
      </c>
    </row>
    <row r="124" spans="1:5" hidden="1" outlineLevel="2" x14ac:dyDescent="0.15">
      <c r="A124" s="1">
        <v>42855</v>
      </c>
    </row>
    <row r="125" spans="1:5" hidden="1" outlineLevel="1" x14ac:dyDescent="0.15">
      <c r="A125" s="1">
        <v>42856</v>
      </c>
    </row>
    <row r="126" spans="1:5" hidden="1" outlineLevel="2" x14ac:dyDescent="0.15">
      <c r="A126" s="1">
        <v>42857</v>
      </c>
      <c r="B126">
        <v>26</v>
      </c>
      <c r="C126">
        <v>18</v>
      </c>
    </row>
    <row r="127" spans="1:5" hidden="1" outlineLevel="2" x14ac:dyDescent="0.15">
      <c r="A127" s="1">
        <v>42858</v>
      </c>
      <c r="C127">
        <v>10</v>
      </c>
    </row>
    <row r="128" spans="1:5" hidden="1" outlineLevel="2" x14ac:dyDescent="0.15">
      <c r="A128" s="1">
        <v>42859</v>
      </c>
      <c r="C128">
        <v>-21</v>
      </c>
      <c r="D128">
        <v>4.5</v>
      </c>
    </row>
    <row r="129" spans="1:5" hidden="1" outlineLevel="2" x14ac:dyDescent="0.15">
      <c r="A129" s="1">
        <v>42860</v>
      </c>
      <c r="B129">
        <f>31-15</f>
        <v>16</v>
      </c>
      <c r="E129">
        <v>31</v>
      </c>
    </row>
    <row r="130" spans="1:5" hidden="1" outlineLevel="2" x14ac:dyDescent="0.15">
      <c r="A130" s="1">
        <v>42861</v>
      </c>
    </row>
    <row r="131" spans="1:5" hidden="1" outlineLevel="2" x14ac:dyDescent="0.15">
      <c r="A131" s="1">
        <v>42862</v>
      </c>
    </row>
    <row r="132" spans="1:5" hidden="1" outlineLevel="2" x14ac:dyDescent="0.15">
      <c r="A132" s="1">
        <v>42863</v>
      </c>
      <c r="B132">
        <v>-5.8</v>
      </c>
      <c r="C132">
        <v>10</v>
      </c>
    </row>
    <row r="133" spans="1:5" hidden="1" outlineLevel="2" x14ac:dyDescent="0.15">
      <c r="A133" s="1">
        <v>42864</v>
      </c>
      <c r="C133">
        <v>10</v>
      </c>
    </row>
    <row r="134" spans="1:5" hidden="1" outlineLevel="2" x14ac:dyDescent="0.15">
      <c r="A134" s="1">
        <v>42865</v>
      </c>
      <c r="B134">
        <v>7</v>
      </c>
      <c r="C134">
        <v>10</v>
      </c>
    </row>
    <row r="135" spans="1:5" hidden="1" outlineLevel="2" x14ac:dyDescent="0.15">
      <c r="A135" s="1">
        <v>42866</v>
      </c>
      <c r="B135">
        <f>-5+16</f>
        <v>11</v>
      </c>
      <c r="C135">
        <v>2</v>
      </c>
    </row>
    <row r="136" spans="1:5" hidden="1" outlineLevel="2" x14ac:dyDescent="0.15">
      <c r="A136" s="1">
        <v>42867</v>
      </c>
      <c r="E136">
        <v>-25</v>
      </c>
    </row>
    <row r="137" spans="1:5" hidden="1" outlineLevel="2" x14ac:dyDescent="0.15">
      <c r="A137" s="1">
        <v>42868</v>
      </c>
    </row>
    <row r="138" spans="1:5" hidden="1" outlineLevel="2" x14ac:dyDescent="0.15">
      <c r="A138" s="1">
        <v>42869</v>
      </c>
    </row>
    <row r="139" spans="1:5" hidden="1" outlineLevel="2" x14ac:dyDescent="0.15">
      <c r="A139" s="1">
        <v>42870</v>
      </c>
    </row>
    <row r="140" spans="1:5" hidden="1" outlineLevel="2" x14ac:dyDescent="0.15">
      <c r="A140" s="1">
        <v>42871</v>
      </c>
    </row>
    <row r="141" spans="1:5" hidden="1" outlineLevel="2" x14ac:dyDescent="0.15">
      <c r="A141" s="1">
        <v>42872</v>
      </c>
    </row>
    <row r="142" spans="1:5" hidden="1" outlineLevel="2" x14ac:dyDescent="0.15">
      <c r="A142" s="1">
        <v>42873</v>
      </c>
    </row>
    <row r="143" spans="1:5" hidden="1" outlineLevel="2" x14ac:dyDescent="0.15">
      <c r="A143" s="1">
        <v>42874</v>
      </c>
    </row>
    <row r="144" spans="1:5" hidden="1" outlineLevel="2" x14ac:dyDescent="0.15">
      <c r="A144" s="1">
        <v>42875</v>
      </c>
    </row>
    <row r="145" spans="1:1" hidden="1" outlineLevel="2" x14ac:dyDescent="0.15">
      <c r="A145" s="1">
        <v>42876</v>
      </c>
    </row>
    <row r="146" spans="1:1" hidden="1" outlineLevel="2" x14ac:dyDescent="0.15">
      <c r="A146" s="1">
        <v>42877</v>
      </c>
    </row>
    <row r="147" spans="1:1" hidden="1" outlineLevel="2" x14ac:dyDescent="0.15">
      <c r="A147" s="1">
        <v>42878</v>
      </c>
    </row>
    <row r="148" spans="1:1" hidden="1" outlineLevel="2" x14ac:dyDescent="0.15">
      <c r="A148" s="1">
        <v>42879</v>
      </c>
    </row>
    <row r="149" spans="1:1" hidden="1" outlineLevel="2" x14ac:dyDescent="0.15">
      <c r="A149" s="1">
        <v>42880</v>
      </c>
    </row>
    <row r="150" spans="1:1" hidden="1" outlineLevel="2" x14ac:dyDescent="0.15">
      <c r="A150" s="1">
        <v>42881</v>
      </c>
    </row>
    <row r="151" spans="1:1" hidden="1" outlineLevel="2" x14ac:dyDescent="0.15">
      <c r="A151" s="1">
        <v>42882</v>
      </c>
    </row>
    <row r="152" spans="1:1" hidden="1" outlineLevel="2" x14ac:dyDescent="0.15">
      <c r="A152" s="1">
        <v>42883</v>
      </c>
    </row>
    <row r="153" spans="1:1" hidden="1" outlineLevel="2" x14ac:dyDescent="0.15">
      <c r="A153" s="1">
        <v>42884</v>
      </c>
    </row>
    <row r="154" spans="1:1" hidden="1" outlineLevel="2" x14ac:dyDescent="0.15">
      <c r="A154" s="1">
        <v>42885</v>
      </c>
    </row>
    <row r="155" spans="1:1" hidden="1" outlineLevel="2" x14ac:dyDescent="0.15">
      <c r="A155" s="1">
        <v>42886</v>
      </c>
    </row>
    <row r="156" spans="1:1" hidden="1" outlineLevel="1" x14ac:dyDescent="0.15">
      <c r="A156" s="1">
        <v>42887</v>
      </c>
    </row>
    <row r="157" spans="1:1" hidden="1" outlineLevel="2" x14ac:dyDescent="0.15">
      <c r="A157" s="1">
        <v>42888</v>
      </c>
    </row>
    <row r="158" spans="1:1" hidden="1" outlineLevel="2" x14ac:dyDescent="0.15">
      <c r="A158" s="1">
        <v>42889</v>
      </c>
    </row>
    <row r="159" spans="1:1" hidden="1" outlineLevel="2" x14ac:dyDescent="0.15">
      <c r="A159" s="1">
        <v>42890</v>
      </c>
    </row>
    <row r="160" spans="1:1" hidden="1" outlineLevel="2" x14ac:dyDescent="0.15">
      <c r="A160" s="1">
        <v>42891</v>
      </c>
    </row>
    <row r="161" spans="1:1" hidden="1" outlineLevel="2" x14ac:dyDescent="0.15">
      <c r="A161" s="1">
        <v>42892</v>
      </c>
    </row>
    <row r="162" spans="1:1" hidden="1" outlineLevel="2" x14ac:dyDescent="0.15">
      <c r="A162" s="1">
        <v>42893</v>
      </c>
    </row>
    <row r="163" spans="1:1" hidden="1" outlineLevel="2" x14ac:dyDescent="0.15">
      <c r="A163" s="1">
        <v>42894</v>
      </c>
    </row>
    <row r="164" spans="1:1" hidden="1" outlineLevel="2" x14ac:dyDescent="0.15">
      <c r="A164" s="1">
        <v>42895</v>
      </c>
    </row>
    <row r="165" spans="1:1" hidden="1" outlineLevel="2" x14ac:dyDescent="0.15">
      <c r="A165" s="1">
        <v>42896</v>
      </c>
    </row>
    <row r="166" spans="1:1" hidden="1" outlineLevel="2" x14ac:dyDescent="0.15">
      <c r="A166" s="1">
        <v>42897</v>
      </c>
    </row>
    <row r="167" spans="1:1" hidden="1" outlineLevel="2" x14ac:dyDescent="0.15">
      <c r="A167" s="1">
        <v>42898</v>
      </c>
    </row>
    <row r="168" spans="1:1" hidden="1" outlineLevel="2" x14ac:dyDescent="0.15">
      <c r="A168" s="1">
        <v>42899</v>
      </c>
    </row>
    <row r="169" spans="1:1" hidden="1" outlineLevel="2" x14ac:dyDescent="0.15">
      <c r="A169" s="1">
        <v>42900</v>
      </c>
    </row>
    <row r="170" spans="1:1" hidden="1" outlineLevel="2" x14ac:dyDescent="0.15">
      <c r="A170" s="1">
        <v>42901</v>
      </c>
    </row>
    <row r="171" spans="1:1" hidden="1" outlineLevel="2" x14ac:dyDescent="0.15">
      <c r="A171" s="1">
        <v>42902</v>
      </c>
    </row>
    <row r="172" spans="1:1" hidden="1" outlineLevel="2" x14ac:dyDescent="0.15">
      <c r="A172" s="1">
        <v>42903</v>
      </c>
    </row>
    <row r="173" spans="1:1" hidden="1" outlineLevel="2" x14ac:dyDescent="0.15">
      <c r="A173" s="1">
        <v>42904</v>
      </c>
    </row>
    <row r="174" spans="1:1" hidden="1" outlineLevel="2" x14ac:dyDescent="0.15">
      <c r="A174" s="1">
        <v>42905</v>
      </c>
    </row>
    <row r="175" spans="1:1" hidden="1" outlineLevel="2" x14ac:dyDescent="0.15">
      <c r="A175" s="1">
        <v>42906</v>
      </c>
    </row>
    <row r="176" spans="1:1" hidden="1" outlineLevel="2" x14ac:dyDescent="0.15">
      <c r="A176" s="1">
        <v>42907</v>
      </c>
    </row>
    <row r="177" spans="1:1" hidden="1" outlineLevel="2" x14ac:dyDescent="0.15">
      <c r="A177" s="1">
        <v>42908</v>
      </c>
    </row>
    <row r="178" spans="1:1" hidden="1" outlineLevel="2" x14ac:dyDescent="0.15">
      <c r="A178" s="1">
        <v>42909</v>
      </c>
    </row>
    <row r="179" spans="1:1" hidden="1" outlineLevel="2" x14ac:dyDescent="0.15">
      <c r="A179" s="1">
        <v>42910</v>
      </c>
    </row>
    <row r="180" spans="1:1" hidden="1" outlineLevel="2" x14ac:dyDescent="0.15">
      <c r="A180" s="1">
        <v>42911</v>
      </c>
    </row>
    <row r="181" spans="1:1" hidden="1" outlineLevel="2" x14ac:dyDescent="0.15">
      <c r="A181" s="1">
        <v>42912</v>
      </c>
    </row>
    <row r="182" spans="1:1" hidden="1" outlineLevel="2" x14ac:dyDescent="0.15">
      <c r="A182" s="1">
        <v>42913</v>
      </c>
    </row>
    <row r="183" spans="1:1" hidden="1" outlineLevel="2" x14ac:dyDescent="0.15">
      <c r="A183" s="1">
        <v>42914</v>
      </c>
    </row>
    <row r="184" spans="1:1" hidden="1" outlineLevel="2" x14ac:dyDescent="0.15">
      <c r="A184" s="1">
        <v>42915</v>
      </c>
    </row>
    <row r="185" spans="1:1" hidden="1" outlineLevel="2" x14ac:dyDescent="0.15">
      <c r="A185" s="1">
        <v>42916</v>
      </c>
    </row>
    <row r="186" spans="1:1" hidden="1" outlineLevel="1" x14ac:dyDescent="0.15">
      <c r="A186" s="1">
        <v>42917</v>
      </c>
    </row>
    <row r="187" spans="1:1" hidden="1" outlineLevel="2" x14ac:dyDescent="0.15">
      <c r="A187" s="1">
        <v>42918</v>
      </c>
    </row>
    <row r="188" spans="1:1" hidden="1" outlineLevel="2" x14ac:dyDescent="0.15">
      <c r="A188" s="1">
        <v>42919</v>
      </c>
    </row>
    <row r="189" spans="1:1" hidden="1" outlineLevel="2" x14ac:dyDescent="0.15">
      <c r="A189" s="1">
        <v>42920</v>
      </c>
    </row>
    <row r="190" spans="1:1" hidden="1" outlineLevel="2" x14ac:dyDescent="0.15">
      <c r="A190" s="1">
        <v>42921</v>
      </c>
    </row>
    <row r="191" spans="1:1" hidden="1" outlineLevel="2" x14ac:dyDescent="0.15">
      <c r="A191" s="1">
        <v>42922</v>
      </c>
    </row>
    <row r="192" spans="1:1" hidden="1" outlineLevel="2" x14ac:dyDescent="0.15">
      <c r="A192" s="1">
        <v>42923</v>
      </c>
    </row>
    <row r="193" spans="1:5" hidden="1" outlineLevel="2" x14ac:dyDescent="0.15">
      <c r="A193" s="1">
        <v>42924</v>
      </c>
    </row>
    <row r="194" spans="1:5" hidden="1" outlineLevel="2" x14ac:dyDescent="0.15">
      <c r="A194" s="1">
        <v>42925</v>
      </c>
    </row>
    <row r="195" spans="1:5" hidden="1" outlineLevel="2" x14ac:dyDescent="0.15">
      <c r="A195" s="1">
        <v>42926</v>
      </c>
    </row>
    <row r="196" spans="1:5" hidden="1" outlineLevel="2" x14ac:dyDescent="0.15">
      <c r="A196" s="1">
        <v>42927</v>
      </c>
    </row>
    <row r="197" spans="1:5" hidden="1" outlineLevel="2" x14ac:dyDescent="0.15">
      <c r="A197" s="1">
        <v>42928</v>
      </c>
    </row>
    <row r="198" spans="1:5" hidden="1" outlineLevel="2" x14ac:dyDescent="0.15">
      <c r="A198" s="1">
        <v>42929</v>
      </c>
    </row>
    <row r="199" spans="1:5" hidden="1" outlineLevel="2" x14ac:dyDescent="0.15">
      <c r="A199" s="1">
        <v>42930</v>
      </c>
    </row>
    <row r="200" spans="1:5" hidden="1" outlineLevel="2" x14ac:dyDescent="0.15">
      <c r="A200" s="1">
        <v>42931</v>
      </c>
    </row>
    <row r="201" spans="1:5" hidden="1" outlineLevel="2" x14ac:dyDescent="0.15">
      <c r="A201" s="1">
        <v>42932</v>
      </c>
    </row>
    <row r="202" spans="1:5" hidden="1" outlineLevel="2" x14ac:dyDescent="0.15">
      <c r="A202" s="1">
        <v>42933</v>
      </c>
      <c r="E202">
        <f>-28*5-26</f>
        <v>-166</v>
      </c>
    </row>
    <row r="203" spans="1:5" hidden="1" outlineLevel="2" x14ac:dyDescent="0.15">
      <c r="A203" s="1">
        <v>42934</v>
      </c>
      <c r="B203">
        <v>12</v>
      </c>
    </row>
    <row r="204" spans="1:5" hidden="1" outlineLevel="2" x14ac:dyDescent="0.15">
      <c r="A204" s="1">
        <v>42935</v>
      </c>
      <c r="B204">
        <f>115*0.06+6</f>
        <v>12.899999999999999</v>
      </c>
    </row>
    <row r="205" spans="1:5" hidden="1" outlineLevel="2" x14ac:dyDescent="0.15">
      <c r="A205" s="1">
        <v>42936</v>
      </c>
      <c r="B205">
        <v>26</v>
      </c>
    </row>
    <row r="206" spans="1:5" hidden="1" outlineLevel="2" x14ac:dyDescent="0.15">
      <c r="A206" s="1">
        <v>42937</v>
      </c>
      <c r="B206">
        <f>-9.5-100</f>
        <v>-109.5</v>
      </c>
      <c r="C206">
        <v>12</v>
      </c>
    </row>
    <row r="207" spans="1:5" hidden="1" outlineLevel="2" x14ac:dyDescent="0.15">
      <c r="A207" s="1">
        <v>42938</v>
      </c>
    </row>
    <row r="208" spans="1:5" hidden="1" outlineLevel="2" x14ac:dyDescent="0.15">
      <c r="A208" s="1">
        <v>42939</v>
      </c>
    </row>
    <row r="209" spans="1:5" hidden="1" outlineLevel="2" x14ac:dyDescent="0.15">
      <c r="A209" s="1">
        <v>42940</v>
      </c>
      <c r="B209">
        <v>15</v>
      </c>
    </row>
    <row r="210" spans="1:5" hidden="1" outlineLevel="2" x14ac:dyDescent="0.15">
      <c r="A210" s="1">
        <v>42941</v>
      </c>
      <c r="B210">
        <v>7</v>
      </c>
      <c r="C210">
        <v>12</v>
      </c>
    </row>
    <row r="211" spans="1:5" hidden="1" outlineLevel="2" x14ac:dyDescent="0.15">
      <c r="A211" s="1">
        <v>42942</v>
      </c>
    </row>
    <row r="212" spans="1:5" hidden="1" outlineLevel="2" x14ac:dyDescent="0.15">
      <c r="A212" s="1">
        <v>42943</v>
      </c>
      <c r="C212">
        <f>14+38*2-16.5-31</f>
        <v>42.5</v>
      </c>
      <c r="D212">
        <f>38-100</f>
        <v>-62</v>
      </c>
    </row>
    <row r="213" spans="1:5" hidden="1" outlineLevel="2" x14ac:dyDescent="0.15">
      <c r="A213" s="1">
        <v>42944</v>
      </c>
      <c r="B213">
        <v>12.5</v>
      </c>
      <c r="C213">
        <v>12</v>
      </c>
    </row>
    <row r="214" spans="1:5" hidden="1" outlineLevel="2" x14ac:dyDescent="0.15">
      <c r="A214" s="1">
        <v>42945</v>
      </c>
    </row>
    <row r="215" spans="1:5" hidden="1" outlineLevel="2" x14ac:dyDescent="0.15">
      <c r="A215" s="1">
        <v>42946</v>
      </c>
    </row>
    <row r="216" spans="1:5" hidden="1" outlineLevel="2" x14ac:dyDescent="0.15">
      <c r="A216" s="1">
        <v>42947</v>
      </c>
      <c r="C216">
        <f>10-50</f>
        <v>-40</v>
      </c>
    </row>
    <row r="217" spans="1:5" hidden="1" outlineLevel="1" x14ac:dyDescent="0.15">
      <c r="A217" s="6">
        <v>42948</v>
      </c>
      <c r="B217">
        <f>'201708'!C2</f>
        <v>-7.8</v>
      </c>
      <c r="C217">
        <f>'201708'!F2</f>
        <v>-72</v>
      </c>
      <c r="D217">
        <f>'201708'!I2</f>
        <v>76</v>
      </c>
      <c r="E217">
        <f>'201708'!L2</f>
        <v>0</v>
      </c>
    </row>
    <row r="218" spans="1:5" hidden="1" outlineLevel="1" x14ac:dyDescent="0.15">
      <c r="A218" s="6">
        <v>42979</v>
      </c>
      <c r="B218">
        <f>'201709'!C2</f>
        <v>117.7</v>
      </c>
      <c r="C218">
        <f>'201709'!F2</f>
        <v>948.3</v>
      </c>
      <c r="D218">
        <f>'201709'!I2</f>
        <v>24</v>
      </c>
      <c r="E218">
        <f>'201709'!L2</f>
        <v>47</v>
      </c>
    </row>
    <row r="219" spans="1:5" hidden="1" outlineLevel="1" x14ac:dyDescent="0.15">
      <c r="A219" s="6">
        <v>43009</v>
      </c>
      <c r="B219">
        <f>'201710'!C2</f>
        <v>0</v>
      </c>
      <c r="C219">
        <f>'201710'!F2</f>
        <v>-981.2</v>
      </c>
      <c r="D219">
        <f>'201710'!I2</f>
        <v>0</v>
      </c>
      <c r="E219">
        <f>'201710'!L2</f>
        <v>-314</v>
      </c>
    </row>
    <row r="220" spans="1:5" hidden="1" outlineLevel="1" x14ac:dyDescent="0.15">
      <c r="A220" s="6">
        <v>43040</v>
      </c>
      <c r="B220">
        <f>'201711'!C2</f>
        <v>0</v>
      </c>
      <c r="C220">
        <f>'201711'!F2</f>
        <v>0</v>
      </c>
      <c r="D220">
        <f>'201711'!I2</f>
        <v>0</v>
      </c>
      <c r="E220">
        <f>'201711'!L2</f>
        <v>-140</v>
      </c>
    </row>
    <row r="221" spans="1:5" hidden="1" outlineLevel="1" x14ac:dyDescent="0.15">
      <c r="A221" s="6">
        <v>43070</v>
      </c>
      <c r="B221">
        <f>'201712'!C2</f>
        <v>-151</v>
      </c>
      <c r="C221">
        <f>'201712'!F2</f>
        <v>33</v>
      </c>
      <c r="D221">
        <f>'201712'!I2</f>
        <v>0</v>
      </c>
      <c r="E221">
        <f>'201712'!L2</f>
        <v>-56</v>
      </c>
    </row>
    <row r="222" spans="1:5" collapsed="1" x14ac:dyDescent="0.15">
      <c r="A222" s="6">
        <v>43101</v>
      </c>
      <c r="B222">
        <f>'201712'!C3</f>
        <v>0</v>
      </c>
      <c r="C222">
        <f>'201801'!F2</f>
        <v>8</v>
      </c>
      <c r="D222">
        <f>'201801'!I2</f>
        <v>-102</v>
      </c>
      <c r="E222">
        <f>'201801'!L2</f>
        <v>-30</v>
      </c>
    </row>
    <row r="223" spans="1:5" hidden="1" outlineLevel="1" x14ac:dyDescent="0.15">
      <c r="A223" s="6">
        <v>43132</v>
      </c>
      <c r="C223">
        <f>'201802'!F2</f>
        <v>10</v>
      </c>
      <c r="D223">
        <f>'201802'!I2</f>
        <v>0</v>
      </c>
      <c r="E223">
        <f>'201802'!L2</f>
        <v>-84</v>
      </c>
    </row>
    <row r="224" spans="1:5" hidden="1" outlineLevel="1" x14ac:dyDescent="0.15">
      <c r="A224" s="6">
        <v>43160</v>
      </c>
      <c r="C224">
        <f>'201803'!F2</f>
        <v>34</v>
      </c>
      <c r="D224">
        <f>'201803'!I2</f>
        <v>57</v>
      </c>
      <c r="E224">
        <f>'201803'!L2</f>
        <v>-6</v>
      </c>
    </row>
    <row r="225" spans="1:7" hidden="1" outlineLevel="1" x14ac:dyDescent="0.15">
      <c r="A225" s="6">
        <v>43191</v>
      </c>
      <c r="C225">
        <f>'201804'!F2</f>
        <v>-9</v>
      </c>
      <c r="D225">
        <f>'201804'!I2</f>
        <v>-76</v>
      </c>
      <c r="E225">
        <f>'201804'!L2</f>
        <v>-546</v>
      </c>
    </row>
    <row r="226" spans="1:7" hidden="1" outlineLevel="1" x14ac:dyDescent="0.15">
      <c r="A226" s="6">
        <v>43221</v>
      </c>
      <c r="C226">
        <f>'201805'!F2</f>
        <v>63.399999999999977</v>
      </c>
      <c r="D226">
        <f>'201805'!I2</f>
        <v>40</v>
      </c>
      <c r="E226">
        <f>'201805'!L2</f>
        <v>0</v>
      </c>
    </row>
    <row r="227" spans="1:7" hidden="1" outlineLevel="1" x14ac:dyDescent="0.15">
      <c r="A227" s="6">
        <v>43253</v>
      </c>
      <c r="C227">
        <f>'201806'!F2</f>
        <v>-86.5</v>
      </c>
      <c r="D227">
        <f>'201806'!I2</f>
        <v>30</v>
      </c>
      <c r="E227">
        <f>'201806'!L2</f>
        <v>-25</v>
      </c>
    </row>
    <row r="228" spans="1:7" hidden="1" outlineLevel="1" x14ac:dyDescent="0.15">
      <c r="A228" s="6">
        <v>43282</v>
      </c>
      <c r="C228">
        <f>'201807'!F2</f>
        <v>-20.6</v>
      </c>
      <c r="D228">
        <f>'201807'!I2</f>
        <v>49</v>
      </c>
      <c r="E228">
        <f>'201807'!L2</f>
        <v>210</v>
      </c>
    </row>
    <row r="229" spans="1:7" hidden="1" outlineLevel="1" x14ac:dyDescent="0.15">
      <c r="A229" s="6">
        <v>43319</v>
      </c>
      <c r="C229">
        <f>'201808'!F2</f>
        <v>472.5</v>
      </c>
      <c r="D229">
        <f>'201808'!I2</f>
        <v>-172</v>
      </c>
      <c r="E229">
        <f>'201808'!L2</f>
        <v>-944.5</v>
      </c>
    </row>
    <row r="230" spans="1:7" hidden="1" outlineLevel="1" x14ac:dyDescent="0.15">
      <c r="A230" s="6">
        <v>43346</v>
      </c>
      <c r="C230">
        <f>'201809'!F2</f>
        <v>-81.5</v>
      </c>
      <c r="D230">
        <f>'201809'!I2</f>
        <v>37</v>
      </c>
      <c r="E230">
        <f>'201809'!L2</f>
        <v>-250</v>
      </c>
    </row>
    <row r="231" spans="1:7" hidden="1" outlineLevel="1" x14ac:dyDescent="0.15">
      <c r="A231" s="6">
        <v>43374</v>
      </c>
      <c r="C231">
        <f>'201810'!F2</f>
        <v>-390.2</v>
      </c>
      <c r="D231">
        <f>'201810'!I2</f>
        <v>-24.599999999999994</v>
      </c>
      <c r="E231">
        <f>'201810'!L2</f>
        <v>0</v>
      </c>
    </row>
    <row r="232" spans="1:7" hidden="1" outlineLevel="1" x14ac:dyDescent="0.15">
      <c r="A232" s="6">
        <v>43411</v>
      </c>
      <c r="C232">
        <f>'201811'!F2</f>
        <v>0</v>
      </c>
      <c r="D232">
        <f>'201811'!I2</f>
        <v>53.5</v>
      </c>
      <c r="E232">
        <f>'201811'!L2</f>
        <v>-499</v>
      </c>
    </row>
    <row r="233" spans="1:7" hidden="1" outlineLevel="1" x14ac:dyDescent="0.15">
      <c r="A233" s="6">
        <v>43441</v>
      </c>
      <c r="C233">
        <f>'201812'!F2</f>
        <v>530.5</v>
      </c>
      <c r="D233">
        <f>'201812'!I2</f>
        <v>0</v>
      </c>
      <c r="E233">
        <f>'201812'!L2</f>
        <v>0</v>
      </c>
    </row>
    <row r="234" spans="1:7" collapsed="1" x14ac:dyDescent="0.15">
      <c r="A234" s="6">
        <v>43467</v>
      </c>
      <c r="C234" s="3">
        <f>'201901'!F2</f>
        <v>-531</v>
      </c>
      <c r="D234" s="3">
        <f>'201901'!I2</f>
        <v>83.5</v>
      </c>
      <c r="E234">
        <f>'201901'!L2</f>
        <v>0</v>
      </c>
    </row>
    <row r="235" spans="1:7" hidden="1" outlineLevel="1" x14ac:dyDescent="0.15">
      <c r="A235" s="6">
        <v>43498</v>
      </c>
      <c r="C235" s="3">
        <f>'201902'!F2</f>
        <v>31.199999999999989</v>
      </c>
      <c r="D235" s="3">
        <f>'201902'!I2</f>
        <v>-100</v>
      </c>
      <c r="E235">
        <f>'201902'!L2</f>
        <v>0</v>
      </c>
    </row>
    <row r="236" spans="1:7" hidden="1" outlineLevel="1" x14ac:dyDescent="0.15">
      <c r="A236" s="6">
        <v>43536</v>
      </c>
      <c r="C236" s="3">
        <f>'201903'!F2</f>
        <v>208</v>
      </c>
      <c r="D236" s="3">
        <f>'201903'!I2</f>
        <v>151</v>
      </c>
      <c r="E236">
        <f>'201903'!L2</f>
        <v>0</v>
      </c>
    </row>
    <row r="237" spans="1:7" hidden="1" outlineLevel="1" x14ac:dyDescent="0.15">
      <c r="A237" s="6">
        <v>43556</v>
      </c>
      <c r="C237" s="3">
        <f>'201904'!F2</f>
        <v>-232.90000000000003</v>
      </c>
      <c r="D237" s="3">
        <f>'201904'!I2</f>
        <v>-256</v>
      </c>
      <c r="E237">
        <f>'201904'!L2</f>
        <v>-142</v>
      </c>
    </row>
    <row r="238" spans="1:7" hidden="1" outlineLevel="1" x14ac:dyDescent="0.15">
      <c r="A238" s="6">
        <v>43587</v>
      </c>
      <c r="C238" s="3">
        <f>'201905'!F2</f>
        <v>-22.599999999999994</v>
      </c>
      <c r="D238" s="3">
        <f>'201905'!I2</f>
        <v>121.80000000000001</v>
      </c>
      <c r="E238">
        <f>'201905'!L2</f>
        <v>-8</v>
      </c>
      <c r="F238">
        <f>'201905'!O2</f>
        <v>47</v>
      </c>
      <c r="G238">
        <f>'201905'!R2</f>
        <v>20</v>
      </c>
    </row>
    <row r="239" spans="1:7" hidden="1" outlineLevel="1" x14ac:dyDescent="0.15">
      <c r="A239" s="6">
        <v>43617</v>
      </c>
      <c r="C239" s="3">
        <f>'201906'!F2</f>
        <v>440.5</v>
      </c>
      <c r="D239" s="3">
        <f>'201906'!I2</f>
        <v>157</v>
      </c>
      <c r="E239">
        <f>'201906'!L2</f>
        <v>17</v>
      </c>
      <c r="F239">
        <f>'201906'!O2</f>
        <v>139.5</v>
      </c>
      <c r="G239">
        <f>'201906'!R2</f>
        <v>-20</v>
      </c>
    </row>
    <row r="240" spans="1:7" hidden="1" outlineLevel="1" x14ac:dyDescent="0.15">
      <c r="A240" s="6">
        <v>43647</v>
      </c>
      <c r="C240" s="35"/>
      <c r="D240" s="35"/>
      <c r="E240" s="36"/>
      <c r="F240" s="36"/>
      <c r="G240" s="36"/>
    </row>
    <row r="241" spans="1:7" hidden="1" outlineLevel="1" x14ac:dyDescent="0.15">
      <c r="A241" s="6">
        <v>43683</v>
      </c>
      <c r="C241" s="3">
        <f>'201908'!F2</f>
        <v>-387.3</v>
      </c>
      <c r="D241" s="3">
        <f>'201908'!I2</f>
        <v>-123</v>
      </c>
      <c r="E241" s="3">
        <f>'201908'!L2</f>
        <v>-60</v>
      </c>
      <c r="F241" s="3">
        <f>'201908'!O2</f>
        <v>-186.5</v>
      </c>
      <c r="G241" s="3">
        <f>'201908'!R2</f>
        <v>0</v>
      </c>
    </row>
    <row r="242" spans="1:7" hidden="1" outlineLevel="1" x14ac:dyDescent="0.15">
      <c r="A242" s="6">
        <v>43711</v>
      </c>
      <c r="C242" s="3">
        <f>'201909'!F2</f>
        <v>-44</v>
      </c>
      <c r="D242" s="3">
        <f>'201909'!I2</f>
        <v>56</v>
      </c>
      <c r="E242" s="3">
        <f>'201909'!L2</f>
        <v>0</v>
      </c>
      <c r="F242" s="3">
        <f>'201909'!O2</f>
        <v>73.599999999999994</v>
      </c>
      <c r="G242" s="3">
        <f>'201909'!R2</f>
        <v>20</v>
      </c>
    </row>
    <row r="243" spans="1:7" hidden="1" outlineLevel="1" x14ac:dyDescent="0.15">
      <c r="A243" s="6">
        <v>43747</v>
      </c>
      <c r="C243" s="3">
        <f>'201910'!F2</f>
        <v>578</v>
      </c>
      <c r="D243" s="3">
        <f>'201910'!I2</f>
        <v>136</v>
      </c>
      <c r="E243" s="3">
        <f>'201910'!L2</f>
        <v>9</v>
      </c>
      <c r="F243" s="3">
        <f>'201910'!O2</f>
        <v>12.5</v>
      </c>
      <c r="G243" s="3">
        <f>'201910'!R2</f>
        <v>0</v>
      </c>
    </row>
    <row r="244" spans="1:7" hidden="1" outlineLevel="1" x14ac:dyDescent="0.15">
      <c r="A244" s="6">
        <v>43770</v>
      </c>
      <c r="C244" s="3">
        <f>'201911'!F2</f>
        <v>339.5</v>
      </c>
      <c r="D244" s="3">
        <f>'201911'!I2</f>
        <v>212</v>
      </c>
      <c r="E244" s="3">
        <f>'201911'!L2</f>
        <v>30</v>
      </c>
      <c r="F244" s="3">
        <f>'201911'!O2</f>
        <v>-58</v>
      </c>
      <c r="G244" s="3">
        <f>'201911'!R2</f>
        <v>-208</v>
      </c>
    </row>
    <row r="245" spans="1:7" hidden="1" outlineLevel="1" x14ac:dyDescent="0.15">
      <c r="A245" s="6">
        <v>43801</v>
      </c>
      <c r="C245" s="3">
        <f>'201912'!F2</f>
        <v>303</v>
      </c>
      <c r="D245" s="3">
        <f>'201912'!I2</f>
        <v>31</v>
      </c>
      <c r="E245" s="3">
        <f>'201912'!L2</f>
        <v>-146</v>
      </c>
      <c r="F245" s="3">
        <f>'201912'!O2</f>
        <v>-71</v>
      </c>
      <c r="G245" s="3">
        <f>'201912'!R2</f>
        <v>131.70000000000005</v>
      </c>
    </row>
    <row r="246" spans="1:7" collapsed="1" x14ac:dyDescent="0.15">
      <c r="A246" s="6">
        <v>43832</v>
      </c>
      <c r="C246" s="3">
        <f>'202001'!F2</f>
        <v>-1174</v>
      </c>
      <c r="D246" s="3">
        <f>'202001'!I2</f>
        <v>-461</v>
      </c>
      <c r="E246" s="3">
        <f>'202001'!L2</f>
        <v>-227.5</v>
      </c>
      <c r="F246" s="3">
        <f>'202001'!O2</f>
        <v>178</v>
      </c>
      <c r="G246" s="3">
        <f>'202001'!R2</f>
        <v>248.5</v>
      </c>
    </row>
    <row r="247" spans="1:7" x14ac:dyDescent="0.15">
      <c r="A247" s="6">
        <v>43863</v>
      </c>
      <c r="C247" s="3">
        <f>'202002'!F2</f>
        <v>-39</v>
      </c>
      <c r="D247" s="3">
        <f>'202002'!I2</f>
        <v>88</v>
      </c>
      <c r="E247" s="3">
        <f>'202002'!L2</f>
        <v>170</v>
      </c>
      <c r="F247" s="3">
        <f>'202002'!O2</f>
        <v>52</v>
      </c>
      <c r="G247" s="3">
        <f>'202002'!R2</f>
        <v>-173</v>
      </c>
    </row>
    <row r="248" spans="1:7" x14ac:dyDescent="0.15">
      <c r="A248" s="6">
        <v>43893</v>
      </c>
      <c r="C248" s="3">
        <f>'202003'!$F$2</f>
        <v>0</v>
      </c>
      <c r="D248" s="3">
        <f>'202003'!$I$2</f>
        <v>43</v>
      </c>
      <c r="E248" s="3">
        <f>'202003'!$L$2</f>
        <v>35</v>
      </c>
      <c r="F248" s="3">
        <f>'202003'!$O$2</f>
        <v>-187</v>
      </c>
      <c r="G248" s="3">
        <f>'202003'!$R$2</f>
        <v>123</v>
      </c>
    </row>
    <row r="249" spans="1:7" x14ac:dyDescent="0.15">
      <c r="A249" s="6">
        <v>43922</v>
      </c>
      <c r="C249" s="3">
        <f>'202004'!$F$2</f>
        <v>83</v>
      </c>
      <c r="D249" s="3">
        <f>'202004'!$I$2</f>
        <v>-144.5</v>
      </c>
      <c r="E249" s="3">
        <f>'202004'!$L$2</f>
        <v>47</v>
      </c>
      <c r="F249" s="3">
        <f>'202004'!$O$2</f>
        <v>0</v>
      </c>
      <c r="G249" s="3">
        <f>'202004'!$R$2</f>
        <v>-91.9</v>
      </c>
    </row>
    <row r="250" spans="1:7" x14ac:dyDescent="0.15">
      <c r="A250" s="6">
        <v>43955</v>
      </c>
      <c r="C250" s="3">
        <f>'202005'!$F$2</f>
        <v>0</v>
      </c>
      <c r="D250" s="3">
        <f>'202005'!$I$2</f>
        <v>0</v>
      </c>
      <c r="E250" s="3">
        <f>'202005'!$L$2</f>
        <v>0</v>
      </c>
      <c r="F250" s="3">
        <f>'202005'!$O$2</f>
        <v>0</v>
      </c>
      <c r="G250" s="3">
        <f>'202005'!$R$2</f>
        <v>123</v>
      </c>
    </row>
    <row r="251" spans="1:7" x14ac:dyDescent="0.15">
      <c r="A251" s="6">
        <v>43985</v>
      </c>
      <c r="C251" s="3">
        <f>'202006'!$F$2</f>
        <v>0</v>
      </c>
      <c r="D251" s="3">
        <f>'202006'!$I$2</f>
        <v>0</v>
      </c>
      <c r="E251" s="3">
        <f>'202006'!$L$2</f>
        <v>40</v>
      </c>
      <c r="F251" s="3">
        <f>'202006'!$O$2</f>
        <v>0</v>
      </c>
      <c r="G251" s="3">
        <f>'202006'!$R$2</f>
        <v>-178</v>
      </c>
    </row>
    <row r="252" spans="1:7" x14ac:dyDescent="0.15">
      <c r="A252" s="6">
        <v>44015</v>
      </c>
      <c r="C252" s="3">
        <f>'202007'!$F$2</f>
        <v>0</v>
      </c>
      <c r="D252" s="3">
        <f>'202007'!$I$2</f>
        <v>0</v>
      </c>
      <c r="E252" s="3">
        <f>'202007'!$L$2</f>
        <v>-127</v>
      </c>
      <c r="F252" s="3">
        <f>'202007'!$O$2</f>
        <v>41.5</v>
      </c>
      <c r="G252" s="3">
        <f>'202007'!$R$2</f>
        <v>16</v>
      </c>
    </row>
    <row r="253" spans="1:7" x14ac:dyDescent="0.15">
      <c r="A253" s="6">
        <v>44059</v>
      </c>
      <c r="C253" s="3">
        <f>'202008'!$F$2</f>
        <v>0</v>
      </c>
      <c r="D253" s="3">
        <f>'202008'!$I$2</f>
        <v>10</v>
      </c>
      <c r="E253" s="3">
        <f>'202008'!$L$2</f>
        <v>-20.5</v>
      </c>
      <c r="F253" s="3">
        <f>'202008'!$O$2</f>
        <v>-25</v>
      </c>
      <c r="G253" s="3">
        <f>'202008'!$R$2</f>
        <v>10</v>
      </c>
    </row>
    <row r="254" spans="1:7" x14ac:dyDescent="0.15">
      <c r="A254" s="6">
        <v>44077</v>
      </c>
      <c r="C254" s="3">
        <f>'202009'!$F$2</f>
        <v>-83</v>
      </c>
      <c r="D254" s="3">
        <f>'202009'!$I$2</f>
        <v>32</v>
      </c>
      <c r="E254" s="3">
        <f>'202009'!$L$2</f>
        <v>0</v>
      </c>
      <c r="F254" s="3">
        <f>'202009'!$O$2</f>
        <v>21</v>
      </c>
      <c r="G254" s="3">
        <f>'202009'!$R$2</f>
        <v>0</v>
      </c>
    </row>
    <row r="255" spans="1:7" x14ac:dyDescent="0.15">
      <c r="A255" s="6">
        <v>44111</v>
      </c>
      <c r="C255" s="3">
        <f>'202010'!$F$2</f>
        <v>0</v>
      </c>
      <c r="D255" s="3">
        <f>'202010'!$I$2</f>
        <v>31.5</v>
      </c>
      <c r="E255" s="3">
        <f>'202010'!$L$2</f>
        <v>-20</v>
      </c>
      <c r="F255" s="3">
        <f>'202010'!$O$2</f>
        <v>77.7</v>
      </c>
      <c r="G255" s="3">
        <f>'202010'!$R$2</f>
        <v>0</v>
      </c>
    </row>
    <row r="256" spans="1:7" x14ac:dyDescent="0.15">
      <c r="A256" s="6">
        <v>44139</v>
      </c>
      <c r="C256" s="3">
        <f>'202011'!$F$2</f>
        <v>0</v>
      </c>
      <c r="D256" s="3">
        <f>'202011'!$I$2</f>
        <v>24.9</v>
      </c>
      <c r="E256" s="3">
        <f>'202011'!$L$2</f>
        <v>-48</v>
      </c>
      <c r="F256" s="3">
        <f>'202011'!$O$2</f>
        <v>111</v>
      </c>
      <c r="G256" s="3">
        <f>'202011'!$R$2</f>
        <v>0</v>
      </c>
    </row>
    <row r="257" spans="1:7" x14ac:dyDescent="0.15">
      <c r="A257" s="6">
        <v>44166</v>
      </c>
      <c r="C257" s="3">
        <f>'202012'!$F$2</f>
        <v>0</v>
      </c>
      <c r="D257" s="3">
        <f>'202012'!$I$2</f>
        <v>0</v>
      </c>
      <c r="E257" s="3">
        <f>'202012'!$L$2</f>
        <v>0</v>
      </c>
      <c r="F257" s="3">
        <f>'202012'!$O$2</f>
        <v>5</v>
      </c>
      <c r="G257" s="3">
        <f>'202012'!$R$2</f>
        <v>0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selection activeCell="O6" sqref="O6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SUM(G:G)</f>
        <v>0</v>
      </c>
      <c r="G2" s="43"/>
      <c r="H2" s="14"/>
      <c r="I2" s="42">
        <f>SUM(J:J)</f>
        <v>0</v>
      </c>
      <c r="J2" s="43"/>
      <c r="K2" s="14"/>
      <c r="L2" s="42">
        <f>SUM(M:M)</f>
        <v>0</v>
      </c>
      <c r="M2" s="43"/>
      <c r="O2" s="42">
        <f>SUM(P:P)</f>
        <v>5</v>
      </c>
      <c r="P2" s="43"/>
      <c r="R2" s="42">
        <f>SUM(S:S)</f>
        <v>0</v>
      </c>
      <c r="S2" s="43"/>
    </row>
    <row r="3" spans="1:19" x14ac:dyDescent="0.15">
      <c r="A3" s="5">
        <v>44166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44167</v>
      </c>
      <c r="B4" s="5" t="s">
        <v>6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44168</v>
      </c>
      <c r="B5" s="5" t="s">
        <v>7</v>
      </c>
      <c r="C5" s="18"/>
      <c r="D5" s="8"/>
      <c r="F5" s="17"/>
      <c r="G5" s="8"/>
      <c r="I5" s="17"/>
      <c r="J5" s="8"/>
      <c r="L5" s="17"/>
      <c r="M5" s="8"/>
      <c r="O5" s="18" t="s">
        <v>306</v>
      </c>
      <c r="P5" s="8">
        <v>5</v>
      </c>
      <c r="R5" s="17"/>
      <c r="S5" s="8"/>
    </row>
    <row r="6" spans="1:19" x14ac:dyDescent="0.15">
      <c r="A6" s="5">
        <v>44169</v>
      </c>
      <c r="B6" s="5" t="s">
        <v>8</v>
      </c>
      <c r="C6" s="18"/>
      <c r="D6" s="8"/>
      <c r="F6" s="17"/>
      <c r="G6" s="8"/>
      <c r="I6" s="17"/>
      <c r="J6" s="8"/>
      <c r="L6" s="17"/>
      <c r="M6" s="8"/>
      <c r="O6" s="18"/>
      <c r="P6" s="8"/>
      <c r="R6" s="17"/>
      <c r="S6" s="8"/>
    </row>
    <row r="7" spans="1:19" x14ac:dyDescent="0.15">
      <c r="A7" s="5">
        <v>44170</v>
      </c>
      <c r="B7" s="5" t="s">
        <v>9</v>
      </c>
      <c r="C7" s="18"/>
      <c r="D7" s="8"/>
      <c r="F7" s="17"/>
      <c r="G7" s="8"/>
      <c r="I7" s="17"/>
      <c r="J7" s="8"/>
      <c r="L7" s="17"/>
      <c r="M7" s="8"/>
      <c r="O7" s="18"/>
      <c r="P7" s="8"/>
      <c r="R7" s="17"/>
      <c r="S7" s="8"/>
    </row>
    <row r="8" spans="1:19" x14ac:dyDescent="0.15">
      <c r="A8" s="5">
        <v>44171</v>
      </c>
      <c r="B8" s="5" t="s">
        <v>10</v>
      </c>
      <c r="C8" s="18"/>
      <c r="D8" s="8"/>
      <c r="F8" s="17"/>
      <c r="G8" s="8"/>
      <c r="I8" s="17"/>
      <c r="J8" s="8"/>
      <c r="L8" s="17"/>
      <c r="M8" s="8"/>
      <c r="O8" s="18"/>
      <c r="P8" s="8"/>
      <c r="R8" s="17"/>
      <c r="S8" s="8"/>
    </row>
    <row r="9" spans="1:19" x14ac:dyDescent="0.15">
      <c r="A9" s="5">
        <v>44172</v>
      </c>
      <c r="B9" s="5" t="s">
        <v>5</v>
      </c>
      <c r="C9" s="18"/>
      <c r="D9" s="8"/>
      <c r="F9" s="17"/>
      <c r="G9" s="8"/>
      <c r="I9" s="17"/>
      <c r="J9" s="8"/>
      <c r="L9" s="17"/>
      <c r="M9" s="8"/>
      <c r="O9" s="18"/>
      <c r="P9" s="8"/>
      <c r="R9" s="17"/>
      <c r="S9" s="8"/>
    </row>
    <row r="10" spans="1:19" x14ac:dyDescent="0.15">
      <c r="A10" s="5">
        <v>44173</v>
      </c>
      <c r="B10" s="5" t="s">
        <v>4</v>
      </c>
      <c r="C10" s="18"/>
      <c r="D10" s="8"/>
      <c r="F10" s="17"/>
      <c r="G10" s="8"/>
      <c r="I10" s="17"/>
      <c r="J10" s="8"/>
      <c r="L10" s="17"/>
      <c r="M10" s="8"/>
      <c r="O10" s="18"/>
      <c r="P10" s="8"/>
      <c r="R10" s="17"/>
      <c r="S10" s="8"/>
    </row>
    <row r="11" spans="1:19" x14ac:dyDescent="0.15">
      <c r="A11" s="5">
        <v>44174</v>
      </c>
      <c r="B11" s="5" t="s">
        <v>6</v>
      </c>
      <c r="C11" s="18"/>
      <c r="D11" s="8"/>
      <c r="F11" s="18"/>
      <c r="G11" s="8"/>
      <c r="I11" s="18"/>
      <c r="J11" s="8"/>
      <c r="L11" s="17"/>
      <c r="M11" s="8"/>
      <c r="O11" s="18"/>
      <c r="P11" s="8"/>
      <c r="R11" s="17"/>
      <c r="S11" s="8"/>
    </row>
    <row r="12" spans="1:19" x14ac:dyDescent="0.15">
      <c r="A12" s="5">
        <v>44175</v>
      </c>
      <c r="B12" s="5" t="s">
        <v>7</v>
      </c>
      <c r="C12" s="18"/>
      <c r="D12" s="8"/>
      <c r="F12" s="18"/>
      <c r="G12" s="8"/>
      <c r="I12" s="18"/>
      <c r="J12" s="8"/>
      <c r="L12" s="17"/>
      <c r="M12" s="8"/>
      <c r="O12" s="18"/>
      <c r="P12" s="8"/>
      <c r="R12" s="17"/>
      <c r="S12" s="8"/>
    </row>
    <row r="13" spans="1:19" x14ac:dyDescent="0.15">
      <c r="A13" s="5">
        <v>44176</v>
      </c>
      <c r="B13" s="5" t="s">
        <v>8</v>
      </c>
      <c r="C13" s="18"/>
      <c r="D13" s="8"/>
      <c r="F13" s="17"/>
      <c r="G13" s="8"/>
      <c r="I13" s="18"/>
      <c r="J13" s="8"/>
      <c r="L13" s="17"/>
      <c r="M13" s="8"/>
      <c r="O13" s="18"/>
      <c r="P13" s="8"/>
      <c r="R13" s="17"/>
      <c r="S13" s="8"/>
    </row>
    <row r="14" spans="1:19" x14ac:dyDescent="0.15">
      <c r="A14" s="5">
        <v>44177</v>
      </c>
      <c r="B14" s="5" t="s">
        <v>9</v>
      </c>
      <c r="C14" s="18"/>
      <c r="D14" s="8"/>
      <c r="F14" s="17"/>
      <c r="G14" s="8"/>
      <c r="I14" s="18"/>
      <c r="J14" s="8"/>
      <c r="L14" s="17"/>
      <c r="M14" s="8"/>
      <c r="O14" s="18"/>
      <c r="P14" s="8"/>
      <c r="R14" s="17"/>
      <c r="S14" s="8"/>
    </row>
    <row r="15" spans="1:19" x14ac:dyDescent="0.15">
      <c r="A15" s="5">
        <v>44178</v>
      </c>
      <c r="B15" s="5" t="s">
        <v>10</v>
      </c>
      <c r="C15" s="18"/>
      <c r="D15" s="8"/>
      <c r="F15" s="17"/>
      <c r="G15" s="8"/>
      <c r="I15" s="18"/>
      <c r="J15" s="8"/>
      <c r="L15" s="17"/>
      <c r="M15" s="8"/>
      <c r="O15" s="18"/>
      <c r="P15" s="8"/>
      <c r="R15" s="17"/>
      <c r="S15" s="8"/>
    </row>
    <row r="16" spans="1:19" x14ac:dyDescent="0.15">
      <c r="A16" s="5">
        <v>44179</v>
      </c>
      <c r="B16" s="5" t="s">
        <v>5</v>
      </c>
      <c r="C16" s="18"/>
      <c r="D16" s="8"/>
      <c r="F16" s="17"/>
      <c r="G16" s="8"/>
      <c r="I16" s="18"/>
      <c r="J16" s="8"/>
      <c r="L16" s="18"/>
      <c r="M16" s="8"/>
      <c r="O16" s="18"/>
      <c r="P16" s="8"/>
      <c r="R16" s="17"/>
      <c r="S16" s="8"/>
    </row>
    <row r="17" spans="1:22" x14ac:dyDescent="0.15">
      <c r="A17" s="5">
        <v>44180</v>
      </c>
      <c r="B17" s="5" t="s">
        <v>4</v>
      </c>
      <c r="C17" s="18"/>
      <c r="D17" s="8"/>
      <c r="F17" s="17"/>
      <c r="G17" s="8"/>
      <c r="I17" s="18"/>
      <c r="J17" s="8"/>
      <c r="L17" s="17"/>
      <c r="M17" s="8"/>
      <c r="O17" s="18"/>
      <c r="P17" s="8"/>
      <c r="R17" s="17"/>
      <c r="S17" s="8"/>
    </row>
    <row r="18" spans="1:22" x14ac:dyDescent="0.15">
      <c r="A18" s="5">
        <v>44181</v>
      </c>
      <c r="B18" s="5" t="s">
        <v>6</v>
      </c>
      <c r="C18" s="18"/>
      <c r="D18" s="8"/>
      <c r="F18" s="17"/>
      <c r="G18" s="8"/>
      <c r="I18" s="18"/>
      <c r="J18" s="8"/>
      <c r="L18" s="17"/>
      <c r="M18" s="8"/>
      <c r="O18" s="17"/>
      <c r="P18" s="8"/>
      <c r="R18" s="17"/>
      <c r="S18" s="8"/>
    </row>
    <row r="19" spans="1:22" x14ac:dyDescent="0.15">
      <c r="A19" s="5">
        <v>44182</v>
      </c>
      <c r="B19" s="5" t="s">
        <v>7</v>
      </c>
      <c r="C19" s="18"/>
      <c r="D19" s="8"/>
      <c r="F19" s="17"/>
      <c r="G19" s="8"/>
      <c r="I19" s="18"/>
      <c r="J19" s="8"/>
      <c r="L19" s="17"/>
      <c r="M19" s="8"/>
      <c r="O19" s="18"/>
      <c r="P19" s="8"/>
      <c r="R19" s="17"/>
      <c r="S19" s="8"/>
    </row>
    <row r="20" spans="1:22" x14ac:dyDescent="0.15">
      <c r="A20" s="5">
        <v>44183</v>
      </c>
      <c r="B20" s="5" t="s">
        <v>8</v>
      </c>
      <c r="C20" s="18"/>
      <c r="D20" s="8"/>
      <c r="F20" s="17"/>
      <c r="G20" s="8"/>
      <c r="I20" s="17"/>
      <c r="J20" s="8"/>
      <c r="L20" s="17"/>
      <c r="M20" s="8"/>
      <c r="O20" s="17"/>
      <c r="P20" s="8"/>
      <c r="R20" s="17"/>
      <c r="S20" s="8"/>
    </row>
    <row r="21" spans="1:22" x14ac:dyDescent="0.15">
      <c r="A21" s="5">
        <v>44184</v>
      </c>
      <c r="B21" s="5" t="s">
        <v>9</v>
      </c>
      <c r="C21" s="18"/>
      <c r="D21" s="8"/>
      <c r="F21" s="17"/>
      <c r="G21" s="8"/>
      <c r="I21" s="18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44185</v>
      </c>
      <c r="B22" s="5" t="s">
        <v>10</v>
      </c>
      <c r="C22" s="18"/>
      <c r="D22" s="8"/>
      <c r="F22" s="17"/>
      <c r="G22" s="8"/>
      <c r="I22" s="18"/>
      <c r="J22" s="8"/>
      <c r="L22" s="17"/>
      <c r="M22" s="8"/>
      <c r="O22" s="17"/>
      <c r="P22" s="8"/>
      <c r="R22" s="17"/>
      <c r="S22" s="8"/>
      <c r="T22" s="41"/>
      <c r="U22" s="41"/>
      <c r="V22" s="41"/>
    </row>
    <row r="23" spans="1:22" x14ac:dyDescent="0.15">
      <c r="A23" s="5">
        <v>44186</v>
      </c>
      <c r="B23" s="5" t="s">
        <v>5</v>
      </c>
      <c r="C23" s="18"/>
      <c r="D23" s="8"/>
      <c r="F23" s="17"/>
      <c r="G23" s="8"/>
      <c r="I23" s="17"/>
      <c r="J23" s="8"/>
      <c r="L23" s="18"/>
      <c r="M23" s="8"/>
      <c r="O23" s="17"/>
      <c r="P23" s="8"/>
      <c r="R23" s="17"/>
      <c r="S23" s="8"/>
      <c r="T23" s="41"/>
      <c r="U23" s="41"/>
      <c r="V23" s="41"/>
    </row>
    <row r="24" spans="1:22" x14ac:dyDescent="0.15">
      <c r="A24" s="5">
        <v>44187</v>
      </c>
      <c r="B24" s="5" t="s">
        <v>4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40"/>
      <c r="S24" s="33"/>
      <c r="T24" s="41"/>
      <c r="U24" s="41"/>
      <c r="V24" s="41"/>
    </row>
    <row r="25" spans="1:22" x14ac:dyDescent="0.15">
      <c r="A25" s="5">
        <v>44188</v>
      </c>
      <c r="B25" s="5" t="s">
        <v>6</v>
      </c>
      <c r="C25" s="18"/>
      <c r="D25" s="8"/>
      <c r="F25" s="17"/>
      <c r="G25" s="8"/>
      <c r="I25" s="17"/>
      <c r="J25" s="8"/>
      <c r="L25" s="17"/>
      <c r="M25" s="8"/>
      <c r="O25" s="18"/>
      <c r="P25" s="8"/>
      <c r="R25" s="40"/>
      <c r="S25" s="33"/>
      <c r="T25" s="41"/>
      <c r="U25" s="41"/>
      <c r="V25" s="41"/>
    </row>
    <row r="26" spans="1:22" x14ac:dyDescent="0.15">
      <c r="A26" s="5">
        <v>44189</v>
      </c>
      <c r="B26" s="5" t="s">
        <v>7</v>
      </c>
      <c r="C26" s="18"/>
      <c r="D26" s="8"/>
      <c r="F26" s="17"/>
      <c r="G26" s="8"/>
      <c r="I26" s="17"/>
      <c r="J26" s="8"/>
      <c r="L26" s="17"/>
      <c r="M26" s="8"/>
      <c r="O26" s="17"/>
      <c r="P26" s="8"/>
      <c r="R26" s="40"/>
      <c r="S26" s="33"/>
      <c r="T26" s="41"/>
      <c r="U26" s="41"/>
      <c r="V26" s="41"/>
    </row>
    <row r="27" spans="1:22" x14ac:dyDescent="0.15">
      <c r="A27" s="5">
        <v>44190</v>
      </c>
      <c r="B27" s="5" t="s">
        <v>8</v>
      </c>
      <c r="C27" s="18"/>
      <c r="D27" s="8"/>
      <c r="F27" s="17"/>
      <c r="G27" s="8"/>
      <c r="I27" s="18"/>
      <c r="J27" s="8"/>
      <c r="L27" s="17"/>
      <c r="M27" s="8"/>
      <c r="O27" s="17"/>
      <c r="P27" s="8"/>
      <c r="R27" s="17"/>
      <c r="S27" s="8"/>
      <c r="T27" s="41"/>
      <c r="U27" s="41"/>
      <c r="V27" s="41"/>
    </row>
    <row r="28" spans="1:22" x14ac:dyDescent="0.15">
      <c r="A28" s="5">
        <v>44191</v>
      </c>
      <c r="B28" s="5" t="s">
        <v>9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33"/>
      <c r="T28" s="41"/>
      <c r="U28" s="41"/>
      <c r="V28" s="41"/>
    </row>
    <row r="29" spans="1:22" x14ac:dyDescent="0.15">
      <c r="A29" s="5">
        <v>44192</v>
      </c>
      <c r="B29" s="5" t="s">
        <v>10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/>
      <c r="S29" s="8"/>
      <c r="T29" s="41"/>
      <c r="U29" s="41"/>
      <c r="V29" s="41"/>
    </row>
    <row r="30" spans="1:22" x14ac:dyDescent="0.15">
      <c r="A30" s="5">
        <v>44193</v>
      </c>
      <c r="B30" s="5" t="s">
        <v>5</v>
      </c>
      <c r="C30" s="18"/>
      <c r="D30" s="8"/>
      <c r="F30" s="17"/>
      <c r="G30" s="8"/>
      <c r="I30" s="18"/>
      <c r="J30" s="8"/>
      <c r="L30" s="17"/>
      <c r="M30" s="8"/>
      <c r="O30" s="17"/>
      <c r="P30" s="8"/>
      <c r="R30" s="17"/>
      <c r="S30" s="33"/>
      <c r="T30" s="41"/>
      <c r="U30" s="41"/>
      <c r="V30" s="41"/>
    </row>
    <row r="31" spans="1:22" x14ac:dyDescent="0.15">
      <c r="A31" s="5">
        <v>44194</v>
      </c>
      <c r="B31" s="5" t="s">
        <v>4</v>
      </c>
      <c r="C31" s="18"/>
      <c r="D31" s="8"/>
      <c r="F31" s="17"/>
      <c r="G31" s="8"/>
      <c r="I31" s="17"/>
      <c r="J31" s="8"/>
      <c r="L31" s="17"/>
      <c r="M31" s="8"/>
      <c r="O31" s="18"/>
      <c r="P31" s="8"/>
      <c r="R31" s="17"/>
      <c r="S31" s="33"/>
      <c r="T31" s="41"/>
      <c r="U31" s="41"/>
      <c r="V31" s="41"/>
    </row>
    <row r="32" spans="1:22" x14ac:dyDescent="0.15">
      <c r="A32" s="5">
        <v>44195</v>
      </c>
      <c r="B32" s="5" t="s">
        <v>6</v>
      </c>
      <c r="C32" s="18"/>
      <c r="D32" s="8"/>
      <c r="F32" s="17"/>
      <c r="G32" s="8"/>
      <c r="I32" s="17"/>
      <c r="J32" s="8"/>
      <c r="L32" s="17"/>
      <c r="M32" s="8"/>
      <c r="O32" s="18"/>
      <c r="P32" s="8"/>
      <c r="R32" s="17"/>
      <c r="S32" s="8"/>
      <c r="T32" s="41"/>
      <c r="U32" s="41"/>
      <c r="V32" s="41"/>
    </row>
    <row r="33" spans="1:19" x14ac:dyDescent="0.15">
      <c r="A33" s="5">
        <v>44196</v>
      </c>
      <c r="B33" s="5" t="s">
        <v>7</v>
      </c>
      <c r="C33" s="18"/>
      <c r="D33" s="8"/>
      <c r="F33" s="17"/>
      <c r="G33" s="8"/>
      <c r="I33" s="17"/>
      <c r="J33" s="8"/>
      <c r="L33" s="17"/>
      <c r="M33" s="8"/>
      <c r="O33" s="17"/>
      <c r="P33" s="8"/>
      <c r="R33" s="17"/>
      <c r="S33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selection activeCell="O25" sqref="O25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SUM(G:G)</f>
        <v>0</v>
      </c>
      <c r="G2" s="43"/>
      <c r="H2" s="14"/>
      <c r="I2" s="42">
        <f>SUM(J:J)</f>
        <v>24.9</v>
      </c>
      <c r="J2" s="43"/>
      <c r="K2" s="14"/>
      <c r="L2" s="42">
        <f>SUM(M:M)</f>
        <v>-48</v>
      </c>
      <c r="M2" s="43"/>
      <c r="O2" s="42">
        <f>SUM(P:P)</f>
        <v>111</v>
      </c>
      <c r="P2" s="43"/>
      <c r="R2" s="42">
        <f>SUM(S:S)</f>
        <v>0</v>
      </c>
      <c r="S2" s="43"/>
    </row>
    <row r="3" spans="1:19" x14ac:dyDescent="0.15">
      <c r="A3" s="5">
        <v>44136</v>
      </c>
      <c r="B3" s="5" t="s">
        <v>10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44137</v>
      </c>
      <c r="B4" s="5" t="s">
        <v>5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44138</v>
      </c>
      <c r="B5" s="5" t="s">
        <v>4</v>
      </c>
      <c r="C5" s="18"/>
      <c r="D5" s="8"/>
      <c r="F5" s="17"/>
      <c r="G5" s="8"/>
      <c r="I5" s="17"/>
      <c r="J5" s="8"/>
      <c r="L5" s="17"/>
      <c r="M5" s="8"/>
      <c r="O5" s="18" t="s">
        <v>126</v>
      </c>
      <c r="P5" s="8">
        <v>5</v>
      </c>
      <c r="R5" s="17"/>
      <c r="S5" s="8"/>
    </row>
    <row r="6" spans="1:19" x14ac:dyDescent="0.15">
      <c r="A6" s="5">
        <v>44139</v>
      </c>
      <c r="B6" s="5" t="s">
        <v>6</v>
      </c>
      <c r="C6" s="18"/>
      <c r="D6" s="8"/>
      <c r="F6" s="17"/>
      <c r="G6" s="8"/>
      <c r="I6" s="17"/>
      <c r="J6" s="8"/>
      <c r="L6" s="17" t="s">
        <v>27</v>
      </c>
      <c r="M6" s="8">
        <v>-4</v>
      </c>
      <c r="O6" s="18" t="s">
        <v>109</v>
      </c>
      <c r="P6" s="8">
        <v>24</v>
      </c>
      <c r="R6" s="17"/>
      <c r="S6" s="8"/>
    </row>
    <row r="7" spans="1:19" x14ac:dyDescent="0.15">
      <c r="A7" s="5">
        <v>44140</v>
      </c>
      <c r="B7" s="5" t="s">
        <v>7</v>
      </c>
      <c r="C7" s="18"/>
      <c r="D7" s="8"/>
      <c r="F7" s="17"/>
      <c r="G7" s="8"/>
      <c r="I7" s="17"/>
      <c r="J7" s="8"/>
      <c r="L7" s="17"/>
      <c r="M7" s="8"/>
      <c r="O7" s="18" t="s">
        <v>126</v>
      </c>
      <c r="P7" s="8">
        <v>5</v>
      </c>
      <c r="R7" s="17"/>
      <c r="S7" s="8"/>
    </row>
    <row r="8" spans="1:19" x14ac:dyDescent="0.15">
      <c r="A8" s="5">
        <v>44141</v>
      </c>
      <c r="B8" s="5" t="s">
        <v>8</v>
      </c>
      <c r="C8" s="18"/>
      <c r="D8" s="8"/>
      <c r="F8" s="17"/>
      <c r="G8" s="8"/>
      <c r="I8" s="17"/>
      <c r="J8" s="8"/>
      <c r="L8" s="17"/>
      <c r="M8" s="8"/>
      <c r="O8" s="18" t="s">
        <v>126</v>
      </c>
      <c r="P8" s="8">
        <v>5</v>
      </c>
      <c r="R8" s="17"/>
      <c r="S8" s="8"/>
    </row>
    <row r="9" spans="1:19" x14ac:dyDescent="0.15">
      <c r="A9" s="5">
        <v>44142</v>
      </c>
      <c r="B9" s="5" t="s">
        <v>9</v>
      </c>
      <c r="C9" s="18"/>
      <c r="D9" s="8"/>
      <c r="F9" s="17"/>
      <c r="G9" s="8"/>
      <c r="I9" s="17"/>
      <c r="J9" s="8"/>
      <c r="L9" s="17"/>
      <c r="M9" s="8"/>
      <c r="O9" s="18"/>
      <c r="P9" s="8"/>
      <c r="R9" s="17"/>
      <c r="S9" s="8"/>
    </row>
    <row r="10" spans="1:19" x14ac:dyDescent="0.15">
      <c r="A10" s="5">
        <v>44143</v>
      </c>
      <c r="B10" s="5" t="s">
        <v>10</v>
      </c>
      <c r="C10" s="18"/>
      <c r="D10" s="8"/>
      <c r="F10" s="17"/>
      <c r="G10" s="8"/>
      <c r="I10" s="17"/>
      <c r="J10" s="8"/>
      <c r="L10" s="17"/>
      <c r="M10" s="8"/>
      <c r="O10" s="18"/>
      <c r="P10" s="8"/>
      <c r="R10" s="17"/>
      <c r="S10" s="8"/>
    </row>
    <row r="11" spans="1:19" x14ac:dyDescent="0.15">
      <c r="A11" s="5">
        <v>44144</v>
      </c>
      <c r="B11" s="5" t="s">
        <v>5</v>
      </c>
      <c r="C11" s="18"/>
      <c r="D11" s="8"/>
      <c r="F11" s="18"/>
      <c r="G11" s="8"/>
      <c r="I11" s="18"/>
      <c r="J11" s="8"/>
      <c r="L11" s="17"/>
      <c r="M11" s="8"/>
      <c r="O11" s="18" t="s">
        <v>126</v>
      </c>
      <c r="P11" s="8">
        <v>5</v>
      </c>
      <c r="R11" s="17"/>
      <c r="S11" s="8"/>
    </row>
    <row r="12" spans="1:19" x14ac:dyDescent="0.15">
      <c r="A12" s="5">
        <v>44145</v>
      </c>
      <c r="B12" s="5" t="s">
        <v>4</v>
      </c>
      <c r="C12" s="18"/>
      <c r="D12" s="8"/>
      <c r="F12" s="18"/>
      <c r="G12" s="8"/>
      <c r="I12" s="18"/>
      <c r="J12" s="8"/>
      <c r="L12" s="17"/>
      <c r="M12" s="8"/>
      <c r="O12" s="18" t="s">
        <v>126</v>
      </c>
      <c r="P12" s="8">
        <v>5</v>
      </c>
      <c r="R12" s="17"/>
      <c r="S12" s="8"/>
    </row>
    <row r="13" spans="1:19" x14ac:dyDescent="0.15">
      <c r="A13" s="5">
        <v>44146</v>
      </c>
      <c r="B13" s="5" t="s">
        <v>6</v>
      </c>
      <c r="C13" s="18"/>
      <c r="D13" s="8"/>
      <c r="F13" s="17"/>
      <c r="G13" s="8"/>
      <c r="I13" s="18" t="s">
        <v>126</v>
      </c>
      <c r="J13" s="8">
        <v>10</v>
      </c>
      <c r="L13" s="17"/>
      <c r="M13" s="8"/>
      <c r="O13" s="18" t="s">
        <v>126</v>
      </c>
      <c r="P13" s="8">
        <v>-5</v>
      </c>
      <c r="R13" s="17"/>
      <c r="S13" s="8"/>
    </row>
    <row r="14" spans="1:19" x14ac:dyDescent="0.15">
      <c r="A14" s="5"/>
      <c r="B14" s="5"/>
      <c r="C14" s="18"/>
      <c r="D14" s="8"/>
      <c r="F14" s="17"/>
      <c r="G14" s="8"/>
      <c r="I14" s="18"/>
      <c r="J14" s="8"/>
      <c r="L14" s="17"/>
      <c r="M14" s="8"/>
      <c r="O14" s="18" t="s">
        <v>304</v>
      </c>
      <c r="P14" s="8">
        <v>22</v>
      </c>
      <c r="R14" s="17"/>
      <c r="S14" s="8"/>
    </row>
    <row r="15" spans="1:19" x14ac:dyDescent="0.15">
      <c r="A15" s="5">
        <v>44147</v>
      </c>
      <c r="B15" s="5" t="s">
        <v>7</v>
      </c>
      <c r="C15" s="18"/>
      <c r="D15" s="8"/>
      <c r="F15" s="17"/>
      <c r="G15" s="8"/>
      <c r="I15" s="18" t="s">
        <v>126</v>
      </c>
      <c r="J15" s="8">
        <v>9.9</v>
      </c>
      <c r="L15" s="17"/>
      <c r="M15" s="8"/>
      <c r="O15" s="18"/>
      <c r="P15" s="8"/>
      <c r="R15" s="17"/>
      <c r="S15" s="8"/>
    </row>
    <row r="16" spans="1:19" x14ac:dyDescent="0.15">
      <c r="A16" s="5">
        <v>44148</v>
      </c>
      <c r="B16" s="5" t="s">
        <v>8</v>
      </c>
      <c r="C16" s="18"/>
      <c r="D16" s="8"/>
      <c r="F16" s="17"/>
      <c r="G16" s="8"/>
      <c r="I16" s="18"/>
      <c r="J16" s="8"/>
      <c r="L16" s="18" t="s">
        <v>109</v>
      </c>
      <c r="M16" s="8">
        <v>-22</v>
      </c>
      <c r="O16" s="18"/>
      <c r="P16" s="8"/>
      <c r="R16" s="17"/>
      <c r="S16" s="8"/>
    </row>
    <row r="17" spans="1:22" x14ac:dyDescent="0.15">
      <c r="A17" s="5">
        <v>44149</v>
      </c>
      <c r="B17" s="5" t="s">
        <v>9</v>
      </c>
      <c r="C17" s="18"/>
      <c r="D17" s="8"/>
      <c r="F17" s="17"/>
      <c r="G17" s="8"/>
      <c r="I17" s="18"/>
      <c r="J17" s="8"/>
      <c r="L17" s="17"/>
      <c r="M17" s="8"/>
      <c r="O17" s="18"/>
      <c r="P17" s="8"/>
      <c r="R17" s="17"/>
      <c r="S17" s="8"/>
    </row>
    <row r="18" spans="1:22" x14ac:dyDescent="0.15">
      <c r="A18" s="5">
        <v>44150</v>
      </c>
      <c r="B18" s="5" t="s">
        <v>10</v>
      </c>
      <c r="C18" s="18"/>
      <c r="D18" s="8"/>
      <c r="F18" s="17"/>
      <c r="G18" s="8"/>
      <c r="I18" s="18"/>
      <c r="J18" s="8"/>
      <c r="L18" s="17"/>
      <c r="M18" s="8"/>
      <c r="O18" s="17"/>
      <c r="P18" s="8"/>
      <c r="R18" s="17"/>
      <c r="S18" s="8"/>
    </row>
    <row r="19" spans="1:22" x14ac:dyDescent="0.15">
      <c r="A19" s="5">
        <v>44151</v>
      </c>
      <c r="B19" s="5" t="s">
        <v>5</v>
      </c>
      <c r="C19" s="18"/>
      <c r="D19" s="8"/>
      <c r="F19" s="17"/>
      <c r="G19" s="8"/>
      <c r="I19" s="18"/>
      <c r="J19" s="8"/>
      <c r="L19" s="17"/>
      <c r="M19" s="8"/>
      <c r="O19" s="18" t="s">
        <v>126</v>
      </c>
      <c r="P19" s="8">
        <v>5</v>
      </c>
      <c r="R19" s="17"/>
      <c r="S19" s="8"/>
    </row>
    <row r="20" spans="1:22" x14ac:dyDescent="0.15">
      <c r="A20" s="5">
        <v>44152</v>
      </c>
      <c r="B20" s="5" t="s">
        <v>4</v>
      </c>
      <c r="C20" s="18"/>
      <c r="D20" s="8"/>
      <c r="F20" s="17"/>
      <c r="G20" s="8"/>
      <c r="I20" s="17"/>
      <c r="J20" s="8"/>
      <c r="L20" s="17"/>
      <c r="M20" s="8"/>
      <c r="O20" s="17" t="s">
        <v>126</v>
      </c>
      <c r="P20" s="8">
        <v>5</v>
      </c>
      <c r="R20" s="17"/>
      <c r="S20" s="8"/>
    </row>
    <row r="21" spans="1:22" x14ac:dyDescent="0.15">
      <c r="A21" s="5">
        <v>44153</v>
      </c>
      <c r="B21" s="5" t="s">
        <v>6</v>
      </c>
      <c r="C21" s="18"/>
      <c r="D21" s="8"/>
      <c r="F21" s="17"/>
      <c r="G21" s="8"/>
      <c r="I21" s="18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44154</v>
      </c>
      <c r="B22" s="5" t="s">
        <v>7</v>
      </c>
      <c r="C22" s="18"/>
      <c r="D22" s="8"/>
      <c r="F22" s="17"/>
      <c r="G22" s="8"/>
      <c r="I22" s="18"/>
      <c r="J22" s="8"/>
      <c r="L22" s="17"/>
      <c r="M22" s="8"/>
      <c r="O22" s="17" t="s">
        <v>126</v>
      </c>
      <c r="P22" s="8">
        <v>5</v>
      </c>
      <c r="R22" s="17"/>
      <c r="S22" s="8"/>
      <c r="T22" s="41"/>
      <c r="U22" s="41"/>
      <c r="V22" s="41"/>
    </row>
    <row r="23" spans="1:22" x14ac:dyDescent="0.15">
      <c r="A23" s="5">
        <v>44155</v>
      </c>
      <c r="B23" s="5" t="s">
        <v>8</v>
      </c>
      <c r="C23" s="18"/>
      <c r="D23" s="8"/>
      <c r="F23" s="17"/>
      <c r="G23" s="8"/>
      <c r="I23" s="17"/>
      <c r="J23" s="8"/>
      <c r="L23" s="18" t="s">
        <v>109</v>
      </c>
      <c r="M23" s="8">
        <v>-22</v>
      </c>
      <c r="O23" s="17"/>
      <c r="P23" s="8"/>
      <c r="R23" s="17"/>
      <c r="S23" s="8"/>
      <c r="T23" s="41"/>
      <c r="U23" s="41"/>
      <c r="V23" s="41"/>
    </row>
    <row r="24" spans="1:22" x14ac:dyDescent="0.15">
      <c r="A24" s="5">
        <v>44156</v>
      </c>
      <c r="B24" s="5" t="s">
        <v>9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40"/>
      <c r="S24" s="33"/>
      <c r="T24" s="41"/>
      <c r="U24" s="41"/>
      <c r="V24" s="41"/>
    </row>
    <row r="25" spans="1:22" x14ac:dyDescent="0.15">
      <c r="A25" s="5">
        <v>44157</v>
      </c>
      <c r="B25" s="5" t="s">
        <v>10</v>
      </c>
      <c r="C25" s="18"/>
      <c r="D25" s="8"/>
      <c r="F25" s="17"/>
      <c r="G25" s="8"/>
      <c r="I25" s="17"/>
      <c r="J25" s="8"/>
      <c r="L25" s="17"/>
      <c r="M25" s="8"/>
      <c r="O25" s="18"/>
      <c r="P25" s="8"/>
      <c r="R25" s="40"/>
      <c r="S25" s="33"/>
      <c r="T25" s="41"/>
      <c r="U25" s="41"/>
      <c r="V25" s="41"/>
    </row>
    <row r="26" spans="1:22" x14ac:dyDescent="0.15">
      <c r="A26" s="5">
        <v>44158</v>
      </c>
      <c r="B26" s="5" t="s">
        <v>5</v>
      </c>
      <c r="C26" s="18"/>
      <c r="D26" s="8"/>
      <c r="F26" s="17"/>
      <c r="G26" s="8"/>
      <c r="I26" s="17" t="s">
        <v>305</v>
      </c>
      <c r="J26" s="8">
        <v>5</v>
      </c>
      <c r="L26" s="17"/>
      <c r="M26" s="8"/>
      <c r="O26" s="17" t="s">
        <v>126</v>
      </c>
      <c r="P26" s="8">
        <v>5</v>
      </c>
      <c r="R26" s="40"/>
      <c r="S26" s="33"/>
      <c r="T26" s="41"/>
      <c r="U26" s="41"/>
      <c r="V26" s="41"/>
    </row>
    <row r="27" spans="1:22" x14ac:dyDescent="0.15">
      <c r="A27" s="5">
        <v>44159</v>
      </c>
      <c r="B27" s="5" t="s">
        <v>4</v>
      </c>
      <c r="C27" s="18"/>
      <c r="D27" s="8"/>
      <c r="F27" s="17"/>
      <c r="G27" s="8"/>
      <c r="I27" s="18"/>
      <c r="J27" s="8"/>
      <c r="L27" s="17"/>
      <c r="M27" s="8"/>
      <c r="O27" s="17" t="s">
        <v>126</v>
      </c>
      <c r="P27" s="8">
        <v>5</v>
      </c>
      <c r="R27" s="17"/>
      <c r="S27" s="8"/>
      <c r="T27" s="41"/>
      <c r="U27" s="41"/>
      <c r="V27" s="41"/>
    </row>
    <row r="28" spans="1:22" x14ac:dyDescent="0.15">
      <c r="A28" s="5">
        <v>44160</v>
      </c>
      <c r="B28" s="5" t="s">
        <v>6</v>
      </c>
      <c r="C28" s="18"/>
      <c r="D28" s="8"/>
      <c r="F28" s="17"/>
      <c r="G28" s="8"/>
      <c r="I28" s="17"/>
      <c r="J28" s="8"/>
      <c r="L28" s="17"/>
      <c r="M28" s="8"/>
      <c r="O28" s="17" t="s">
        <v>126</v>
      </c>
      <c r="P28" s="8">
        <v>5</v>
      </c>
      <c r="R28" s="17"/>
      <c r="S28" s="33"/>
      <c r="T28" s="41"/>
      <c r="U28" s="41"/>
      <c r="V28" s="41"/>
    </row>
    <row r="29" spans="1:22" x14ac:dyDescent="0.15">
      <c r="A29" s="5">
        <v>44161</v>
      </c>
      <c r="B29" s="5" t="s">
        <v>7</v>
      </c>
      <c r="C29" s="18"/>
      <c r="D29" s="8"/>
      <c r="F29" s="17"/>
      <c r="G29" s="8"/>
      <c r="I29" s="17"/>
      <c r="J29" s="8"/>
      <c r="L29" s="17"/>
      <c r="M29" s="8"/>
      <c r="O29" s="17" t="s">
        <v>126</v>
      </c>
      <c r="P29" s="8">
        <v>5</v>
      </c>
      <c r="R29" s="17"/>
      <c r="S29" s="8"/>
      <c r="T29" s="41"/>
      <c r="U29" s="41"/>
      <c r="V29" s="41"/>
    </row>
    <row r="30" spans="1:22" x14ac:dyDescent="0.15">
      <c r="A30" s="5">
        <v>44162</v>
      </c>
      <c r="B30" s="5" t="s">
        <v>8</v>
      </c>
      <c r="C30" s="18"/>
      <c r="D30" s="8"/>
      <c r="F30" s="17"/>
      <c r="G30" s="8"/>
      <c r="I30" s="18"/>
      <c r="J30" s="8"/>
      <c r="L30" s="17"/>
      <c r="M30" s="8"/>
      <c r="O30" s="17" t="s">
        <v>126</v>
      </c>
      <c r="P30" s="8">
        <v>5</v>
      </c>
      <c r="R30" s="17"/>
      <c r="S30" s="33"/>
      <c r="T30" s="41"/>
      <c r="U30" s="41"/>
      <c r="V30" s="41"/>
    </row>
    <row r="31" spans="1:22" x14ac:dyDescent="0.15">
      <c r="A31" s="5">
        <v>44163</v>
      </c>
      <c r="B31" s="5" t="s">
        <v>9</v>
      </c>
      <c r="C31" s="18"/>
      <c r="D31" s="8"/>
      <c r="F31" s="17"/>
      <c r="G31" s="8"/>
      <c r="I31" s="17"/>
      <c r="J31" s="8"/>
      <c r="L31" s="17"/>
      <c r="M31" s="8"/>
      <c r="O31" s="18"/>
      <c r="P31" s="8"/>
      <c r="R31" s="17"/>
      <c r="S31" s="33"/>
      <c r="T31" s="41"/>
      <c r="U31" s="41"/>
      <c r="V31" s="41"/>
    </row>
    <row r="32" spans="1:22" x14ac:dyDescent="0.15">
      <c r="A32" s="5">
        <v>44164</v>
      </c>
      <c r="B32" s="5" t="s">
        <v>10</v>
      </c>
      <c r="C32" s="18"/>
      <c r="D32" s="8"/>
      <c r="F32" s="17"/>
      <c r="G32" s="8"/>
      <c r="I32" s="17"/>
      <c r="J32" s="8"/>
      <c r="L32" s="17"/>
      <c r="M32" s="8"/>
      <c r="O32" s="18"/>
      <c r="P32" s="8"/>
      <c r="R32" s="17"/>
      <c r="S32" s="8"/>
      <c r="T32" s="41"/>
      <c r="U32" s="41"/>
      <c r="V32" s="41"/>
    </row>
    <row r="33" spans="1:19" x14ac:dyDescent="0.15">
      <c r="A33" s="5">
        <v>44165</v>
      </c>
      <c r="B33" s="5" t="s">
        <v>5</v>
      </c>
      <c r="C33" s="18"/>
      <c r="D33" s="8"/>
      <c r="F33" s="17"/>
      <c r="G33" s="8"/>
      <c r="I33" s="17"/>
      <c r="J33" s="8"/>
      <c r="L33" s="17"/>
      <c r="M33" s="8"/>
      <c r="O33" s="17" t="s">
        <v>126</v>
      </c>
      <c r="P33" s="8">
        <v>5</v>
      </c>
      <c r="R33" s="17"/>
      <c r="S33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O37" sqref="O37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SUM(D3:D36)</f>
        <v>0</v>
      </c>
      <c r="D2" s="43"/>
      <c r="E2" s="3"/>
      <c r="F2" s="42">
        <f>SUM(G:G)</f>
        <v>0</v>
      </c>
      <c r="G2" s="43"/>
      <c r="H2" s="14"/>
      <c r="I2" s="42">
        <f>SUM(J:J)</f>
        <v>31.5</v>
      </c>
      <c r="J2" s="43"/>
      <c r="K2" s="14"/>
      <c r="L2" s="42">
        <f>SUM(M:M)</f>
        <v>-20</v>
      </c>
      <c r="M2" s="43"/>
      <c r="O2" s="42">
        <f>SUM(P:P)</f>
        <v>77.7</v>
      </c>
      <c r="P2" s="43"/>
      <c r="R2" s="42">
        <f>SUM(S:S)</f>
        <v>0</v>
      </c>
      <c r="S2" s="43"/>
    </row>
    <row r="3" spans="1:19" x14ac:dyDescent="0.15">
      <c r="A3" s="5">
        <v>44105</v>
      </c>
      <c r="B3" s="5" t="s">
        <v>7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44106</v>
      </c>
      <c r="B4" s="5" t="s">
        <v>8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44107</v>
      </c>
      <c r="B5" s="5" t="s">
        <v>9</v>
      </c>
      <c r="C5" s="18"/>
      <c r="D5" s="8"/>
      <c r="F5" s="17"/>
      <c r="G5" s="8"/>
      <c r="I5" s="17"/>
      <c r="J5" s="8"/>
      <c r="L5" s="17"/>
      <c r="M5" s="8"/>
      <c r="O5" s="18"/>
      <c r="P5" s="8"/>
      <c r="R5" s="17"/>
      <c r="S5" s="8"/>
    </row>
    <row r="6" spans="1:19" x14ac:dyDescent="0.15">
      <c r="A6" s="5">
        <v>44108</v>
      </c>
      <c r="B6" s="5" t="s">
        <v>10</v>
      </c>
      <c r="C6" s="18"/>
      <c r="D6" s="8"/>
      <c r="F6" s="17"/>
      <c r="G6" s="8"/>
      <c r="I6" s="17"/>
      <c r="J6" s="8"/>
      <c r="L6" s="17"/>
      <c r="M6" s="8"/>
      <c r="O6" s="18"/>
      <c r="P6" s="8"/>
      <c r="R6" s="17"/>
      <c r="S6" s="8"/>
    </row>
    <row r="7" spans="1:19" x14ac:dyDescent="0.15">
      <c r="A7" s="5">
        <v>44109</v>
      </c>
      <c r="B7" s="5" t="s">
        <v>5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19" x14ac:dyDescent="0.15">
      <c r="A8" s="5">
        <v>44110</v>
      </c>
      <c r="B8" s="5" t="s">
        <v>4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19" x14ac:dyDescent="0.15">
      <c r="A9" s="5">
        <v>44111</v>
      </c>
      <c r="B9" s="5" t="s">
        <v>6</v>
      </c>
      <c r="C9" s="18"/>
      <c r="D9" s="8"/>
      <c r="F9" s="17"/>
      <c r="G9" s="8"/>
      <c r="I9" s="17"/>
      <c r="J9" s="8"/>
      <c r="L9" s="17"/>
      <c r="M9" s="8"/>
      <c r="O9" s="18" t="s">
        <v>126</v>
      </c>
      <c r="P9" s="8">
        <v>6.9</v>
      </c>
      <c r="R9" s="17"/>
      <c r="S9" s="8"/>
    </row>
    <row r="10" spans="1:19" x14ac:dyDescent="0.15">
      <c r="A10" s="5"/>
      <c r="B10" s="5"/>
      <c r="C10" s="18"/>
      <c r="D10" s="8"/>
      <c r="F10" s="17"/>
      <c r="G10" s="8"/>
      <c r="I10" s="17"/>
      <c r="J10" s="8"/>
      <c r="L10" s="17"/>
      <c r="M10" s="8"/>
      <c r="O10" s="18" t="s">
        <v>126</v>
      </c>
      <c r="P10" s="8">
        <v>-5</v>
      </c>
      <c r="R10" s="17"/>
      <c r="S10" s="8"/>
    </row>
    <row r="11" spans="1:19" x14ac:dyDescent="0.15">
      <c r="A11" s="5">
        <v>44112</v>
      </c>
      <c r="B11" s="5" t="s">
        <v>7</v>
      </c>
      <c r="C11" s="18"/>
      <c r="D11" s="8"/>
      <c r="F11" s="18"/>
      <c r="G11" s="8"/>
      <c r="I11" s="18"/>
      <c r="J11" s="8"/>
      <c r="L11" s="17"/>
      <c r="M11" s="8"/>
      <c r="O11" s="18" t="s">
        <v>126</v>
      </c>
      <c r="P11" s="8">
        <v>6.9</v>
      </c>
      <c r="R11" s="17"/>
      <c r="S11" s="8"/>
    </row>
    <row r="12" spans="1:19" x14ac:dyDescent="0.15">
      <c r="A12" s="5"/>
      <c r="B12" s="5"/>
      <c r="C12" s="18"/>
      <c r="D12" s="8"/>
      <c r="F12" s="18"/>
      <c r="G12" s="8"/>
      <c r="I12" s="18"/>
      <c r="J12" s="8"/>
      <c r="L12" s="17"/>
      <c r="M12" s="8"/>
      <c r="O12" s="18" t="s">
        <v>126</v>
      </c>
      <c r="P12" s="8">
        <v>-5</v>
      </c>
      <c r="R12" s="17"/>
      <c r="S12" s="8"/>
    </row>
    <row r="13" spans="1:19" x14ac:dyDescent="0.15">
      <c r="A13" s="5">
        <v>44113</v>
      </c>
      <c r="B13" s="5" t="s">
        <v>8</v>
      </c>
      <c r="C13" s="18"/>
      <c r="D13" s="8"/>
      <c r="F13" s="17"/>
      <c r="G13" s="8"/>
      <c r="I13" s="18"/>
      <c r="J13" s="8"/>
      <c r="L13" s="17"/>
      <c r="M13" s="8"/>
      <c r="O13" s="18" t="s">
        <v>126</v>
      </c>
      <c r="P13" s="8">
        <v>6.9</v>
      </c>
      <c r="R13" s="17"/>
      <c r="S13" s="8"/>
    </row>
    <row r="14" spans="1:19" x14ac:dyDescent="0.15">
      <c r="A14" s="5"/>
      <c r="B14" s="5"/>
      <c r="C14" s="18"/>
      <c r="D14" s="8"/>
      <c r="F14" s="17"/>
      <c r="G14" s="8"/>
      <c r="I14" s="18"/>
      <c r="J14" s="8"/>
      <c r="L14" s="17"/>
      <c r="M14" s="8"/>
      <c r="O14" s="18" t="s">
        <v>126</v>
      </c>
      <c r="P14" s="8">
        <v>-5</v>
      </c>
      <c r="R14" s="17"/>
      <c r="S14" s="8"/>
    </row>
    <row r="15" spans="1:19" x14ac:dyDescent="0.15">
      <c r="A15" s="5">
        <v>44114</v>
      </c>
      <c r="B15" s="5" t="s">
        <v>9</v>
      </c>
      <c r="C15" s="18"/>
      <c r="D15" s="8"/>
      <c r="F15" s="17"/>
      <c r="G15" s="8"/>
      <c r="I15" s="18"/>
      <c r="J15" s="8"/>
      <c r="L15" s="17"/>
      <c r="M15" s="8"/>
      <c r="O15" s="18"/>
      <c r="P15" s="8"/>
      <c r="R15" s="17"/>
      <c r="S15" s="8"/>
    </row>
    <row r="16" spans="1:19" x14ac:dyDescent="0.15">
      <c r="A16" s="5">
        <v>44115</v>
      </c>
      <c r="B16" s="5" t="s">
        <v>10</v>
      </c>
      <c r="C16" s="18"/>
      <c r="D16" s="8"/>
      <c r="F16" s="17"/>
      <c r="G16" s="8"/>
      <c r="I16" s="18"/>
      <c r="J16" s="8"/>
      <c r="L16" s="17"/>
      <c r="M16" s="8"/>
      <c r="O16" s="18"/>
      <c r="P16" s="8"/>
      <c r="R16" s="17"/>
      <c r="S16" s="8"/>
    </row>
    <row r="17" spans="1:22" x14ac:dyDescent="0.15">
      <c r="A17" s="5">
        <v>44116</v>
      </c>
      <c r="B17" s="5" t="s">
        <v>5</v>
      </c>
      <c r="C17" s="18"/>
      <c r="D17" s="8"/>
      <c r="F17" s="17"/>
      <c r="G17" s="8"/>
      <c r="I17" s="18"/>
      <c r="J17" s="8"/>
      <c r="L17" s="17"/>
      <c r="M17" s="8"/>
      <c r="O17" s="17" t="s">
        <v>302</v>
      </c>
      <c r="P17" s="8">
        <v>9.5</v>
      </c>
      <c r="R17" s="17"/>
      <c r="S17" s="8"/>
    </row>
    <row r="18" spans="1:22" x14ac:dyDescent="0.15">
      <c r="A18" s="5"/>
      <c r="B18" s="5"/>
      <c r="C18" s="18"/>
      <c r="D18" s="8"/>
      <c r="F18" s="17"/>
      <c r="G18" s="8"/>
      <c r="I18" s="18"/>
      <c r="J18" s="8"/>
      <c r="L18" s="17"/>
      <c r="M18" s="8"/>
      <c r="O18" s="18" t="s">
        <v>126</v>
      </c>
      <c r="P18" s="8">
        <v>-5</v>
      </c>
      <c r="R18" s="17"/>
      <c r="S18" s="8"/>
    </row>
    <row r="19" spans="1:22" x14ac:dyDescent="0.15">
      <c r="A19" s="5">
        <v>44117</v>
      </c>
      <c r="B19" s="5" t="s">
        <v>4</v>
      </c>
      <c r="C19" s="18"/>
      <c r="D19" s="8"/>
      <c r="F19" s="17"/>
      <c r="G19" s="8"/>
      <c r="I19" s="17"/>
      <c r="J19" s="8"/>
      <c r="L19" s="17"/>
      <c r="M19" s="8"/>
      <c r="O19" s="18" t="s">
        <v>126</v>
      </c>
      <c r="P19" s="8">
        <v>5</v>
      </c>
      <c r="R19" s="17"/>
      <c r="S19" s="8"/>
    </row>
    <row r="20" spans="1:22" x14ac:dyDescent="0.15">
      <c r="A20" s="5">
        <v>44118</v>
      </c>
      <c r="B20" s="5" t="s">
        <v>6</v>
      </c>
      <c r="C20" s="18"/>
      <c r="D20" s="8"/>
      <c r="F20" s="17"/>
      <c r="G20" s="8"/>
      <c r="I20" s="18"/>
      <c r="J20" s="8"/>
      <c r="L20" s="17"/>
      <c r="M20" s="8"/>
      <c r="O20" s="17"/>
      <c r="P20" s="8"/>
      <c r="R20" s="40"/>
      <c r="S20" s="33"/>
      <c r="T20" s="41"/>
      <c r="U20" s="41"/>
      <c r="V20" s="41"/>
    </row>
    <row r="21" spans="1:22" x14ac:dyDescent="0.15">
      <c r="A21" s="5">
        <v>44119</v>
      </c>
      <c r="B21" s="5" t="s">
        <v>7</v>
      </c>
      <c r="C21" s="18"/>
      <c r="D21" s="8"/>
      <c r="F21" s="17"/>
      <c r="G21" s="8"/>
      <c r="I21" s="18"/>
      <c r="J21" s="8"/>
      <c r="L21" s="17"/>
      <c r="M21" s="8"/>
      <c r="O21" s="18" t="s">
        <v>126</v>
      </c>
      <c r="P21" s="8">
        <v>10</v>
      </c>
      <c r="R21" s="17"/>
      <c r="S21" s="8"/>
      <c r="T21" s="41"/>
      <c r="U21" s="41"/>
      <c r="V21" s="41"/>
    </row>
    <row r="22" spans="1:22" x14ac:dyDescent="0.15">
      <c r="A22" s="5">
        <v>44120</v>
      </c>
      <c r="B22" s="5" t="s">
        <v>8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  <c r="T22" s="41"/>
      <c r="U22" s="41"/>
      <c r="V22" s="41"/>
    </row>
    <row r="23" spans="1:22" x14ac:dyDescent="0.15">
      <c r="A23" s="5">
        <v>44121</v>
      </c>
      <c r="B23" s="5" t="s">
        <v>9</v>
      </c>
      <c r="C23" s="18"/>
      <c r="D23" s="8"/>
      <c r="F23" s="17"/>
      <c r="G23" s="8"/>
      <c r="I23" s="18"/>
      <c r="J23" s="8"/>
      <c r="L23" s="17"/>
      <c r="M23" s="8"/>
      <c r="O23" s="17"/>
      <c r="P23" s="8"/>
      <c r="R23" s="40"/>
      <c r="S23" s="33"/>
      <c r="T23" s="41"/>
      <c r="U23" s="41"/>
      <c r="V23" s="41"/>
    </row>
    <row r="24" spans="1:22" x14ac:dyDescent="0.15">
      <c r="A24" s="5">
        <v>44122</v>
      </c>
      <c r="B24" s="5" t="s">
        <v>10</v>
      </c>
      <c r="C24" s="18"/>
      <c r="D24" s="8"/>
      <c r="F24" s="17"/>
      <c r="G24" s="8"/>
      <c r="I24" s="17"/>
      <c r="J24" s="8"/>
      <c r="L24" s="17"/>
      <c r="M24" s="8"/>
      <c r="O24" s="18"/>
      <c r="P24" s="8"/>
      <c r="R24" s="40"/>
      <c r="S24" s="33"/>
      <c r="T24" s="41"/>
      <c r="U24" s="41"/>
      <c r="V24" s="41"/>
    </row>
    <row r="25" spans="1:22" x14ac:dyDescent="0.15">
      <c r="A25" s="5">
        <v>44123</v>
      </c>
      <c r="B25" s="5" t="s">
        <v>5</v>
      </c>
      <c r="C25" s="18"/>
      <c r="D25" s="8"/>
      <c r="F25" s="17"/>
      <c r="G25" s="8"/>
      <c r="I25" s="17"/>
      <c r="J25" s="8"/>
      <c r="L25" s="17"/>
      <c r="M25" s="8"/>
      <c r="O25" s="17"/>
      <c r="P25" s="8"/>
      <c r="R25" s="40"/>
      <c r="S25" s="33"/>
      <c r="T25" s="41"/>
      <c r="U25" s="41"/>
      <c r="V25" s="41"/>
    </row>
    <row r="26" spans="1:22" x14ac:dyDescent="0.15">
      <c r="A26" s="5">
        <v>44124</v>
      </c>
      <c r="B26" s="5" t="s">
        <v>4</v>
      </c>
      <c r="C26" s="18"/>
      <c r="D26" s="8"/>
      <c r="F26" s="17"/>
      <c r="G26" s="8"/>
      <c r="I26" s="18" t="s">
        <v>126</v>
      </c>
      <c r="J26" s="8">
        <v>21.5</v>
      </c>
      <c r="L26" s="17"/>
      <c r="M26" s="8"/>
      <c r="O26" s="17" t="s">
        <v>303</v>
      </c>
      <c r="P26" s="8">
        <v>12.5</v>
      </c>
      <c r="R26" s="17"/>
      <c r="S26" s="8"/>
      <c r="T26" s="41"/>
      <c r="U26" s="41"/>
      <c r="V26" s="41"/>
    </row>
    <row r="27" spans="1:22" x14ac:dyDescent="0.15">
      <c r="A27" s="5">
        <v>44125</v>
      </c>
      <c r="B27" s="5" t="s">
        <v>6</v>
      </c>
      <c r="C27" s="18"/>
      <c r="D27" s="8"/>
      <c r="F27" s="17"/>
      <c r="G27" s="8"/>
      <c r="I27" s="17"/>
      <c r="J27" s="8"/>
      <c r="L27" s="17" t="s">
        <v>109</v>
      </c>
      <c r="M27" s="8">
        <v>-20</v>
      </c>
      <c r="O27" s="17" t="s">
        <v>109</v>
      </c>
      <c r="P27" s="8">
        <v>20</v>
      </c>
      <c r="R27" s="17"/>
      <c r="S27" s="33"/>
      <c r="T27" s="41"/>
      <c r="U27" s="41"/>
      <c r="V27" s="41"/>
    </row>
    <row r="28" spans="1:22" x14ac:dyDescent="0.15">
      <c r="A28" s="5">
        <v>44126</v>
      </c>
      <c r="B28" s="5" t="s">
        <v>7</v>
      </c>
      <c r="C28" s="18"/>
      <c r="D28" s="8"/>
      <c r="F28" s="17"/>
      <c r="G28" s="8"/>
      <c r="I28" s="17" t="s">
        <v>126</v>
      </c>
      <c r="J28" s="8">
        <v>10</v>
      </c>
      <c r="L28" s="17"/>
      <c r="M28" s="8"/>
      <c r="O28" s="17" t="s">
        <v>126</v>
      </c>
      <c r="P28" s="8">
        <v>10</v>
      </c>
      <c r="R28" s="17"/>
      <c r="S28" s="8"/>
      <c r="T28" s="41"/>
      <c r="U28" s="41"/>
      <c r="V28" s="41"/>
    </row>
    <row r="29" spans="1:22" x14ac:dyDescent="0.15">
      <c r="A29" s="5">
        <v>44127</v>
      </c>
      <c r="B29" s="5" t="s">
        <v>8</v>
      </c>
      <c r="C29" s="18"/>
      <c r="D29" s="8"/>
      <c r="F29" s="17"/>
      <c r="G29" s="8"/>
      <c r="I29" s="18"/>
      <c r="J29" s="8"/>
      <c r="L29" s="17"/>
      <c r="M29" s="8"/>
      <c r="O29" s="18"/>
      <c r="P29" s="8"/>
      <c r="R29" s="17"/>
      <c r="S29" s="33"/>
      <c r="T29" s="41"/>
      <c r="U29" s="41"/>
      <c r="V29" s="41"/>
    </row>
    <row r="30" spans="1:22" x14ac:dyDescent="0.15">
      <c r="A30" s="5">
        <v>44128</v>
      </c>
      <c r="B30" s="5" t="s">
        <v>9</v>
      </c>
      <c r="C30" s="18"/>
      <c r="D30" s="8"/>
      <c r="F30" s="17"/>
      <c r="G30" s="8"/>
      <c r="I30" s="17"/>
      <c r="J30" s="8"/>
      <c r="L30" s="17"/>
      <c r="M30" s="8"/>
      <c r="O30" s="18"/>
      <c r="P30" s="8"/>
      <c r="R30" s="17"/>
      <c r="S30" s="33"/>
      <c r="T30" s="41"/>
      <c r="U30" s="41"/>
      <c r="V30" s="41"/>
    </row>
    <row r="31" spans="1:22" x14ac:dyDescent="0.15">
      <c r="A31" s="5">
        <v>44129</v>
      </c>
      <c r="B31" s="5" t="s">
        <v>10</v>
      </c>
      <c r="C31" s="18"/>
      <c r="D31" s="8"/>
      <c r="F31" s="17"/>
      <c r="G31" s="8"/>
      <c r="I31" s="17"/>
      <c r="J31" s="8"/>
      <c r="L31" s="17"/>
      <c r="M31" s="8"/>
      <c r="O31" s="18"/>
      <c r="P31" s="8"/>
      <c r="R31" s="17"/>
      <c r="S31" s="8"/>
      <c r="T31" s="41"/>
      <c r="U31" s="41"/>
      <c r="V31" s="41"/>
    </row>
    <row r="32" spans="1:22" x14ac:dyDescent="0.15">
      <c r="A32" s="5">
        <v>44130</v>
      </c>
      <c r="B32" s="5" t="s">
        <v>5</v>
      </c>
      <c r="C32" s="18"/>
      <c r="D32" s="8"/>
      <c r="F32" s="17"/>
      <c r="G32" s="8"/>
      <c r="I32" s="17"/>
      <c r="J32" s="8"/>
      <c r="L32" s="17"/>
      <c r="M32" s="8"/>
      <c r="O32" s="17" t="s">
        <v>126</v>
      </c>
      <c r="P32" s="8">
        <v>5</v>
      </c>
      <c r="R32" s="17"/>
      <c r="S32" s="8"/>
    </row>
    <row r="33" spans="1:19" x14ac:dyDescent="0.15">
      <c r="A33" s="5">
        <v>44131</v>
      </c>
      <c r="B33" s="5" t="s">
        <v>4</v>
      </c>
      <c r="C33" s="18"/>
      <c r="D33" s="8"/>
      <c r="F33" s="17"/>
      <c r="G33" s="8"/>
      <c r="I33" s="17"/>
      <c r="J33" s="8"/>
      <c r="L33" s="17"/>
      <c r="M33" s="8"/>
      <c r="O33" s="17" t="s">
        <v>126</v>
      </c>
      <c r="P33" s="8">
        <v>5</v>
      </c>
      <c r="R33" s="17"/>
      <c r="S33" s="8"/>
    </row>
    <row r="34" spans="1:19" x14ac:dyDescent="0.15">
      <c r="A34" s="5">
        <v>44132</v>
      </c>
      <c r="B34" s="5" t="s">
        <v>6</v>
      </c>
      <c r="C34" s="18"/>
      <c r="D34" s="8"/>
      <c r="F34" s="17"/>
      <c r="G34" s="8"/>
      <c r="I34" s="17"/>
      <c r="J34" s="8"/>
      <c r="L34" s="17"/>
      <c r="M34" s="8"/>
      <c r="O34" s="18"/>
      <c r="P34" s="8"/>
      <c r="R34" s="17"/>
      <c r="S34" s="8"/>
    </row>
    <row r="35" spans="1:19" x14ac:dyDescent="0.15">
      <c r="A35" s="5">
        <v>44133</v>
      </c>
      <c r="B35" s="5" t="s">
        <v>7</v>
      </c>
      <c r="C35" s="18"/>
      <c r="D35" s="8"/>
      <c r="F35" s="18"/>
      <c r="G35" s="8"/>
      <c r="I35" s="17"/>
      <c r="J35" s="8"/>
      <c r="L35" s="17"/>
      <c r="M35" s="8"/>
      <c r="O35" s="18"/>
      <c r="P35" s="8"/>
      <c r="R35" s="17"/>
      <c r="S35" s="8"/>
    </row>
    <row r="36" spans="1:19" x14ac:dyDescent="0.15">
      <c r="A36" s="5">
        <v>44134</v>
      </c>
      <c r="B36" s="5" t="s">
        <v>8</v>
      </c>
      <c r="C36" s="18"/>
      <c r="D36" s="8"/>
      <c r="F36" s="18"/>
      <c r="G36" s="8"/>
      <c r="I36" s="18"/>
      <c r="J36" s="8"/>
      <c r="L36" s="17"/>
      <c r="M36" s="8"/>
      <c r="O36" s="17"/>
      <c r="P36" s="8"/>
      <c r="R36" s="17"/>
      <c r="S36" s="8"/>
    </row>
    <row r="37" spans="1:19" x14ac:dyDescent="0.15">
      <c r="A37" s="5">
        <v>44135</v>
      </c>
      <c r="B37" s="5" t="s">
        <v>9</v>
      </c>
      <c r="F37" s="18"/>
      <c r="G37" s="8"/>
      <c r="I37" s="18"/>
      <c r="J37" s="8"/>
      <c r="L37" s="18"/>
      <c r="M37" s="8"/>
      <c r="O37" s="18"/>
      <c r="P37" s="8"/>
      <c r="R37" s="18"/>
      <c r="S37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J33" sqref="J33"/>
    </sheetView>
  </sheetViews>
  <sheetFormatPr defaultRowHeight="13.5" x14ac:dyDescent="0.15"/>
  <cols>
    <col min="1" max="1" width="8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-83</v>
      </c>
      <c r="G2" s="43"/>
      <c r="H2" s="14"/>
      <c r="I2" s="42">
        <f>SUM(J:J)</f>
        <v>32</v>
      </c>
      <c r="J2" s="43"/>
      <c r="K2" s="14"/>
      <c r="L2" s="42">
        <f>SUM(M:M)</f>
        <v>0</v>
      </c>
      <c r="M2" s="43"/>
      <c r="O2" s="42">
        <f>SUM(P:P)</f>
        <v>21</v>
      </c>
      <c r="P2" s="43"/>
      <c r="R2" s="42">
        <f>SUM(S:S)</f>
        <v>0</v>
      </c>
      <c r="S2" s="43"/>
    </row>
    <row r="3" spans="1:22" x14ac:dyDescent="0.15">
      <c r="A3" s="5">
        <v>44075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 t="s">
        <v>296</v>
      </c>
      <c r="P3" s="8">
        <v>-5</v>
      </c>
      <c r="R3" s="18"/>
      <c r="S3" s="8"/>
    </row>
    <row r="4" spans="1:22" x14ac:dyDescent="0.15">
      <c r="A4" s="5">
        <v>44076</v>
      </c>
      <c r="B4" s="5" t="s">
        <v>6</v>
      </c>
      <c r="C4" s="18"/>
      <c r="D4" s="8"/>
      <c r="F4" s="17"/>
      <c r="G4" s="8"/>
      <c r="I4" s="17"/>
      <c r="J4" s="8"/>
      <c r="L4" s="17"/>
      <c r="M4" s="8"/>
      <c r="O4" s="17" t="s">
        <v>297</v>
      </c>
      <c r="P4" s="8">
        <v>22</v>
      </c>
      <c r="R4" s="17"/>
      <c r="S4" s="8"/>
    </row>
    <row r="5" spans="1:22" x14ac:dyDescent="0.15">
      <c r="A5" s="5">
        <v>44077</v>
      </c>
      <c r="B5" s="5" t="s">
        <v>7</v>
      </c>
      <c r="C5" s="18"/>
      <c r="D5" s="8"/>
      <c r="F5" s="17"/>
      <c r="G5" s="8"/>
      <c r="I5" s="17"/>
      <c r="J5" s="8"/>
      <c r="L5" s="17"/>
      <c r="M5" s="8"/>
      <c r="O5" s="18" t="s">
        <v>296</v>
      </c>
      <c r="P5" s="8">
        <v>-5</v>
      </c>
      <c r="R5" s="17"/>
      <c r="S5" s="8"/>
    </row>
    <row r="6" spans="1:22" x14ac:dyDescent="0.15">
      <c r="A6" s="5">
        <v>44078</v>
      </c>
      <c r="B6" s="5" t="s">
        <v>8</v>
      </c>
      <c r="C6" s="18"/>
      <c r="D6" s="8"/>
      <c r="F6" s="17"/>
      <c r="G6" s="8"/>
      <c r="I6" s="17"/>
      <c r="J6" s="8"/>
      <c r="L6" s="17"/>
      <c r="M6" s="8"/>
      <c r="O6" s="18" t="s">
        <v>126</v>
      </c>
      <c r="P6" s="8">
        <v>-5</v>
      </c>
      <c r="R6" s="17"/>
      <c r="S6" s="8"/>
    </row>
    <row r="7" spans="1:22" x14ac:dyDescent="0.15">
      <c r="A7" s="5">
        <v>44079</v>
      </c>
      <c r="B7" s="5" t="s">
        <v>9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44080</v>
      </c>
      <c r="B8" s="5" t="s">
        <v>10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22" x14ac:dyDescent="0.15">
      <c r="A9" s="5">
        <v>44081</v>
      </c>
      <c r="B9" s="5" t="s">
        <v>5</v>
      </c>
      <c r="C9" s="18"/>
      <c r="D9" s="8"/>
      <c r="F9" s="17"/>
      <c r="G9" s="8"/>
      <c r="I9" s="17"/>
      <c r="J9" s="8"/>
      <c r="L9" s="17"/>
      <c r="M9" s="8"/>
      <c r="O9" s="18"/>
      <c r="P9" s="8"/>
      <c r="R9" s="17"/>
      <c r="S9" s="8"/>
    </row>
    <row r="10" spans="1:22" x14ac:dyDescent="0.15">
      <c r="A10" s="5">
        <v>44082</v>
      </c>
      <c r="B10" s="5" t="s">
        <v>4</v>
      </c>
      <c r="C10" s="18"/>
      <c r="D10" s="8"/>
      <c r="F10" s="18"/>
      <c r="G10" s="8"/>
      <c r="I10" s="18"/>
      <c r="J10" s="8"/>
      <c r="L10" s="17"/>
      <c r="M10" s="8"/>
      <c r="O10" s="18" t="s">
        <v>126</v>
      </c>
      <c r="P10" s="8">
        <v>-5</v>
      </c>
      <c r="R10" s="17"/>
      <c r="S10" s="8"/>
    </row>
    <row r="11" spans="1:22" x14ac:dyDescent="0.15">
      <c r="A11" s="5">
        <v>44083</v>
      </c>
      <c r="B11" s="5" t="s">
        <v>6</v>
      </c>
      <c r="C11" s="18"/>
      <c r="D11" s="8"/>
      <c r="F11" s="17" t="s">
        <v>299</v>
      </c>
      <c r="G11" s="8">
        <v>84</v>
      </c>
      <c r="I11" s="18"/>
      <c r="J11" s="8"/>
      <c r="L11" s="17"/>
      <c r="M11" s="8"/>
      <c r="O11" s="17"/>
      <c r="P11" s="8"/>
      <c r="R11" s="17"/>
      <c r="S11" s="8"/>
    </row>
    <row r="12" spans="1:22" x14ac:dyDescent="0.15">
      <c r="A12" s="5">
        <v>44084</v>
      </c>
      <c r="B12" s="5" t="s">
        <v>7</v>
      </c>
      <c r="C12" s="18"/>
      <c r="D12" s="8"/>
      <c r="F12" s="17"/>
      <c r="G12" s="8"/>
      <c r="I12" s="18"/>
      <c r="J12" s="8"/>
      <c r="L12" s="17"/>
      <c r="M12" s="8"/>
      <c r="O12" s="18" t="s">
        <v>126</v>
      </c>
      <c r="P12" s="8">
        <v>-10</v>
      </c>
      <c r="R12" s="17"/>
      <c r="S12" s="8"/>
    </row>
    <row r="13" spans="1:22" x14ac:dyDescent="0.15">
      <c r="A13" s="5">
        <v>44085</v>
      </c>
      <c r="B13" s="5" t="s">
        <v>8</v>
      </c>
      <c r="C13" s="18"/>
      <c r="D13" s="8"/>
      <c r="F13" s="17"/>
      <c r="G13" s="8" t="s">
        <v>298</v>
      </c>
      <c r="I13" s="18"/>
      <c r="J13" s="8"/>
      <c r="L13" s="17"/>
      <c r="M13" s="8"/>
      <c r="O13" s="18" t="s">
        <v>126</v>
      </c>
      <c r="P13" s="8">
        <v>-5</v>
      </c>
      <c r="R13" s="17"/>
      <c r="S13" s="8"/>
    </row>
    <row r="14" spans="1:22" x14ac:dyDescent="0.15">
      <c r="A14" s="5">
        <v>44086</v>
      </c>
      <c r="B14" s="5" t="s">
        <v>9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/>
      <c r="S14" s="8"/>
    </row>
    <row r="15" spans="1:22" x14ac:dyDescent="0.15">
      <c r="A15" s="5">
        <v>44087</v>
      </c>
      <c r="B15" s="5" t="s">
        <v>10</v>
      </c>
      <c r="C15" s="18"/>
      <c r="D15" s="8"/>
      <c r="F15" s="17"/>
      <c r="G15" s="8"/>
      <c r="I15" s="17"/>
      <c r="J15" s="8"/>
      <c r="L15" s="17"/>
      <c r="M15" s="8"/>
      <c r="O15" s="17"/>
      <c r="P15" s="8"/>
      <c r="R15" s="17"/>
      <c r="S15" s="8"/>
    </row>
    <row r="16" spans="1:22" x14ac:dyDescent="0.15">
      <c r="A16" s="5">
        <v>44088</v>
      </c>
      <c r="B16" s="5" t="s">
        <v>5</v>
      </c>
      <c r="C16" s="18"/>
      <c r="D16" s="8"/>
      <c r="F16" s="17"/>
      <c r="G16" s="8"/>
      <c r="I16" s="18"/>
      <c r="J16" s="8"/>
      <c r="L16" s="17"/>
      <c r="M16" s="8"/>
      <c r="O16" s="17" t="s">
        <v>109</v>
      </c>
      <c r="P16" s="8">
        <v>22</v>
      </c>
      <c r="R16" s="40"/>
      <c r="S16" s="33"/>
      <c r="T16" s="41"/>
      <c r="U16" s="41"/>
      <c r="V16" s="41"/>
    </row>
    <row r="17" spans="1:22" x14ac:dyDescent="0.15">
      <c r="A17" s="5">
        <v>44089</v>
      </c>
      <c r="B17" s="5" t="s">
        <v>4</v>
      </c>
      <c r="C17" s="18"/>
      <c r="D17" s="8"/>
      <c r="F17" s="17"/>
      <c r="G17" s="8"/>
      <c r="I17" s="18"/>
      <c r="J17" s="8"/>
      <c r="L17" s="17"/>
      <c r="M17" s="8"/>
      <c r="O17" s="18" t="s">
        <v>126</v>
      </c>
      <c r="P17" s="8">
        <v>-5</v>
      </c>
      <c r="R17" s="17"/>
      <c r="S17" s="8"/>
      <c r="T17" s="41"/>
      <c r="U17" s="41"/>
      <c r="V17" s="41"/>
    </row>
    <row r="18" spans="1:22" x14ac:dyDescent="0.15">
      <c r="A18" s="5">
        <v>44090</v>
      </c>
      <c r="B18" s="5" t="s">
        <v>6</v>
      </c>
      <c r="C18" s="18"/>
      <c r="D18" s="8"/>
      <c r="F18" s="17"/>
      <c r="G18" s="8"/>
      <c r="I18" s="17"/>
      <c r="J18" s="8"/>
      <c r="L18" s="17"/>
      <c r="M18" s="8"/>
      <c r="O18" s="17"/>
      <c r="P18" s="8"/>
      <c r="R18" s="17"/>
      <c r="S18" s="8"/>
      <c r="T18" s="41"/>
      <c r="U18" s="41"/>
      <c r="V18" s="41"/>
    </row>
    <row r="19" spans="1:22" x14ac:dyDescent="0.15">
      <c r="A19" s="5">
        <v>44091</v>
      </c>
      <c r="B19" s="5" t="s">
        <v>7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40"/>
      <c r="S19" s="33"/>
      <c r="T19" s="41"/>
      <c r="U19" s="41"/>
      <c r="V19" s="41"/>
    </row>
    <row r="20" spans="1:22" x14ac:dyDescent="0.15">
      <c r="A20" s="5">
        <v>44092</v>
      </c>
      <c r="B20" s="5" t="s">
        <v>8</v>
      </c>
      <c r="C20" s="18"/>
      <c r="D20" s="8"/>
      <c r="F20" s="17"/>
      <c r="G20" s="8"/>
      <c r="I20" s="17"/>
      <c r="J20" s="8"/>
      <c r="L20" s="17"/>
      <c r="M20" s="8"/>
      <c r="O20" s="18" t="s">
        <v>126</v>
      </c>
      <c r="P20" s="8">
        <v>-5</v>
      </c>
      <c r="R20" s="40"/>
      <c r="S20" s="33"/>
      <c r="T20" s="41"/>
      <c r="U20" s="41"/>
      <c r="V20" s="41"/>
    </row>
    <row r="21" spans="1:22" x14ac:dyDescent="0.15">
      <c r="A21" s="5">
        <v>44093</v>
      </c>
      <c r="B21" s="5" t="s">
        <v>9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44094</v>
      </c>
      <c r="B22" s="5" t="s">
        <v>10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  <c r="T22" s="41"/>
      <c r="U22" s="41"/>
      <c r="V22" s="41"/>
    </row>
    <row r="23" spans="1:22" x14ac:dyDescent="0.15">
      <c r="A23" s="5">
        <v>44095</v>
      </c>
      <c r="B23" s="5" t="s">
        <v>5</v>
      </c>
      <c r="C23" s="18"/>
      <c r="D23" s="8"/>
      <c r="F23" s="17"/>
      <c r="G23" s="8"/>
      <c r="I23" s="17"/>
      <c r="J23" s="8"/>
      <c r="L23" s="17"/>
      <c r="M23" s="8"/>
      <c r="O23" s="18" t="s">
        <v>126</v>
      </c>
      <c r="P23" s="8">
        <v>-5</v>
      </c>
      <c r="R23" s="17"/>
      <c r="S23" s="33"/>
      <c r="T23" s="41"/>
      <c r="U23" s="41"/>
      <c r="V23" s="41"/>
    </row>
    <row r="24" spans="1:22" x14ac:dyDescent="0.15">
      <c r="A24" s="5">
        <v>44096</v>
      </c>
      <c r="B24" s="5" t="s">
        <v>4</v>
      </c>
      <c r="C24" s="18"/>
      <c r="D24" s="8"/>
      <c r="F24" s="17"/>
      <c r="G24" s="8"/>
      <c r="I24" s="18" t="s">
        <v>300</v>
      </c>
      <c r="J24" s="8">
        <v>22</v>
      </c>
      <c r="L24" s="17"/>
      <c r="M24" s="8"/>
      <c r="O24" s="17"/>
      <c r="P24" s="8"/>
      <c r="R24" s="17"/>
      <c r="S24" s="8"/>
      <c r="T24" s="41"/>
      <c r="U24" s="41"/>
      <c r="V24" s="41"/>
    </row>
    <row r="25" spans="1:22" x14ac:dyDescent="0.15">
      <c r="A25" s="5">
        <v>44097</v>
      </c>
      <c r="B25" s="5" t="s">
        <v>6</v>
      </c>
      <c r="C25" s="18"/>
      <c r="D25" s="8"/>
      <c r="F25" s="17" t="s">
        <v>301</v>
      </c>
      <c r="G25" s="8">
        <v>-167</v>
      </c>
      <c r="I25" s="18"/>
      <c r="J25" s="8"/>
      <c r="L25" s="17"/>
      <c r="M25" s="8"/>
      <c r="O25" s="18" t="s">
        <v>126</v>
      </c>
      <c r="P25" s="8">
        <v>-5</v>
      </c>
      <c r="R25" s="17"/>
      <c r="S25" s="33"/>
      <c r="T25" s="41"/>
      <c r="U25" s="41"/>
      <c r="V25" s="41"/>
    </row>
    <row r="26" spans="1:22" x14ac:dyDescent="0.15">
      <c r="A26" s="5">
        <v>44098</v>
      </c>
      <c r="B26" s="5" t="s">
        <v>7</v>
      </c>
      <c r="C26" s="18"/>
      <c r="D26" s="8"/>
      <c r="F26" s="17"/>
      <c r="G26" s="8"/>
      <c r="I26" s="17"/>
      <c r="J26" s="8"/>
      <c r="L26" s="17"/>
      <c r="M26" s="8"/>
      <c r="O26" s="18" t="s">
        <v>126</v>
      </c>
      <c r="P26" s="8">
        <v>-5</v>
      </c>
      <c r="R26" s="17"/>
      <c r="S26" s="33"/>
      <c r="T26" s="41"/>
      <c r="U26" s="41"/>
      <c r="V26" s="41"/>
    </row>
    <row r="27" spans="1:22" x14ac:dyDescent="0.15">
      <c r="A27" s="5">
        <v>44099</v>
      </c>
      <c r="B27" s="5" t="s">
        <v>8</v>
      </c>
      <c r="C27" s="18"/>
      <c r="D27" s="8"/>
      <c r="F27" s="17"/>
      <c r="G27" s="8"/>
      <c r="I27" s="17"/>
      <c r="J27" s="8"/>
      <c r="L27" s="17"/>
      <c r="M27" s="8"/>
      <c r="O27" s="18" t="s">
        <v>109</v>
      </c>
      <c r="P27" s="8">
        <v>22</v>
      </c>
      <c r="R27" s="17"/>
      <c r="S27" s="8"/>
      <c r="T27" s="41"/>
      <c r="U27" s="41"/>
      <c r="V27" s="41"/>
    </row>
    <row r="28" spans="1:22" x14ac:dyDescent="0.15">
      <c r="A28" s="5">
        <v>44100</v>
      </c>
      <c r="B28" s="5" t="s">
        <v>9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8"/>
    </row>
    <row r="29" spans="1:22" x14ac:dyDescent="0.15">
      <c r="A29" s="5">
        <v>44101</v>
      </c>
      <c r="B29" s="5" t="s">
        <v>10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/>
      <c r="S29" s="8"/>
    </row>
    <row r="30" spans="1:22" x14ac:dyDescent="0.15">
      <c r="A30" s="5">
        <v>44102</v>
      </c>
      <c r="B30" s="5" t="s">
        <v>5</v>
      </c>
      <c r="C30" s="18"/>
      <c r="D30" s="8"/>
      <c r="F30" s="17"/>
      <c r="G30" s="8"/>
      <c r="I30" s="17"/>
      <c r="J30" s="8"/>
      <c r="L30" s="17"/>
      <c r="M30" s="8"/>
      <c r="O30" s="18" t="s">
        <v>109</v>
      </c>
      <c r="P30" s="8">
        <v>20</v>
      </c>
      <c r="R30" s="17"/>
      <c r="S30" s="8"/>
    </row>
    <row r="31" spans="1:22" x14ac:dyDescent="0.15">
      <c r="A31" s="5">
        <v>44103</v>
      </c>
      <c r="B31" s="5" t="s">
        <v>4</v>
      </c>
      <c r="C31" s="18"/>
      <c r="D31" s="8"/>
      <c r="F31" s="18"/>
      <c r="G31" s="8"/>
      <c r="I31" s="17"/>
      <c r="J31" s="8"/>
      <c r="L31" s="17"/>
      <c r="M31" s="8"/>
      <c r="O31" s="18" t="s">
        <v>126</v>
      </c>
      <c r="P31" s="8">
        <v>-5</v>
      </c>
      <c r="R31" s="17"/>
      <c r="S31" s="8"/>
    </row>
    <row r="32" spans="1:22" x14ac:dyDescent="0.15">
      <c r="A32" s="5">
        <v>44104</v>
      </c>
      <c r="B32" s="5" t="s">
        <v>6</v>
      </c>
      <c r="C32" s="18"/>
      <c r="D32" s="8"/>
      <c r="F32" s="18"/>
      <c r="G32" s="8"/>
      <c r="I32" s="18" t="s">
        <v>126</v>
      </c>
      <c r="J32" s="8">
        <v>10</v>
      </c>
      <c r="L32" s="17"/>
      <c r="M32" s="8"/>
      <c r="O32" s="17"/>
      <c r="P32" s="8"/>
      <c r="R32" s="17"/>
      <c r="S32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10" workbookViewId="0">
      <selection activeCell="F40" sqref="F40"/>
    </sheetView>
  </sheetViews>
  <sheetFormatPr defaultRowHeight="13.5" x14ac:dyDescent="0.15"/>
  <cols>
    <col min="1" max="1" width="8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0</v>
      </c>
      <c r="G2" s="43"/>
      <c r="H2" s="14"/>
      <c r="I2" s="42">
        <f>SUM(J:J)</f>
        <v>10</v>
      </c>
      <c r="J2" s="43"/>
      <c r="K2" s="14"/>
      <c r="L2" s="42">
        <f>SUM(M:M)</f>
        <v>-20.5</v>
      </c>
      <c r="M2" s="43"/>
      <c r="O2" s="42">
        <f>SUM(P:P)</f>
        <v>-25</v>
      </c>
      <c r="P2" s="43"/>
      <c r="R2" s="42">
        <f>SUM(S:S)</f>
        <v>10</v>
      </c>
      <c r="S2" s="43"/>
    </row>
    <row r="3" spans="1:22" x14ac:dyDescent="0.15">
      <c r="A3" s="5">
        <v>44044</v>
      </c>
      <c r="B3" s="5" t="s">
        <v>9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22" x14ac:dyDescent="0.15">
      <c r="A4" s="5">
        <v>44045</v>
      </c>
      <c r="B4" s="5" t="s">
        <v>10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22" x14ac:dyDescent="0.15">
      <c r="A5" s="5">
        <v>44046</v>
      </c>
      <c r="B5" s="5" t="s">
        <v>5</v>
      </c>
      <c r="C5" s="18"/>
      <c r="D5" s="8"/>
      <c r="F5" s="17"/>
      <c r="G5" s="8"/>
      <c r="I5" s="17"/>
      <c r="J5" s="8"/>
      <c r="L5" s="17"/>
      <c r="M5" s="8"/>
      <c r="O5" s="17" t="s">
        <v>292</v>
      </c>
      <c r="P5" s="8">
        <v>-5</v>
      </c>
      <c r="R5" s="17"/>
      <c r="S5" s="8"/>
    </row>
    <row r="6" spans="1:22" x14ac:dyDescent="0.15">
      <c r="A6" s="5">
        <v>44047</v>
      </c>
      <c r="B6" s="5" t="s">
        <v>4</v>
      </c>
      <c r="C6" s="18"/>
      <c r="D6" s="8"/>
      <c r="F6" s="17"/>
      <c r="G6" s="8"/>
      <c r="I6" s="17"/>
      <c r="J6" s="8"/>
      <c r="L6" s="17"/>
      <c r="M6" s="8"/>
      <c r="O6" s="17" t="s">
        <v>126</v>
      </c>
      <c r="P6" s="8">
        <v>-5</v>
      </c>
      <c r="R6" s="17"/>
      <c r="S6" s="8"/>
    </row>
    <row r="7" spans="1:22" x14ac:dyDescent="0.15">
      <c r="A7" s="5">
        <v>44048</v>
      </c>
      <c r="B7" s="5" t="s">
        <v>6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44049</v>
      </c>
      <c r="B8" s="5" t="s">
        <v>7</v>
      </c>
      <c r="C8" s="18"/>
      <c r="D8" s="8"/>
      <c r="F8" s="17"/>
      <c r="G8" s="8"/>
      <c r="I8" s="17"/>
      <c r="J8" s="8"/>
      <c r="L8" s="17"/>
      <c r="M8" s="8"/>
      <c r="O8" s="17" t="s">
        <v>126</v>
      </c>
      <c r="P8" s="8">
        <v>-5</v>
      </c>
      <c r="R8" s="17"/>
      <c r="S8" s="8"/>
    </row>
    <row r="9" spans="1:22" x14ac:dyDescent="0.15">
      <c r="A9" s="5">
        <v>44050</v>
      </c>
      <c r="B9" s="5" t="s">
        <v>8</v>
      </c>
      <c r="C9" s="18"/>
      <c r="D9" s="8"/>
      <c r="F9" s="17"/>
      <c r="G9" s="8"/>
      <c r="I9" s="17"/>
      <c r="J9" s="8"/>
      <c r="L9" s="17"/>
      <c r="M9" s="8"/>
      <c r="O9" s="17" t="s">
        <v>126</v>
      </c>
      <c r="P9" s="8">
        <v>-5</v>
      </c>
      <c r="R9" s="17"/>
      <c r="S9" s="8"/>
    </row>
    <row r="10" spans="1:22" x14ac:dyDescent="0.15">
      <c r="A10" s="5">
        <v>44051</v>
      </c>
      <c r="B10" s="5" t="s">
        <v>9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22" x14ac:dyDescent="0.15">
      <c r="A11" s="5">
        <v>44052</v>
      </c>
      <c r="B11" s="5" t="s">
        <v>10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22" x14ac:dyDescent="0.15">
      <c r="A12" s="5">
        <v>44053</v>
      </c>
      <c r="B12" s="5" t="s">
        <v>5</v>
      </c>
      <c r="C12" s="18"/>
      <c r="D12" s="8"/>
      <c r="F12" s="17"/>
      <c r="G12" s="8"/>
      <c r="I12" s="18"/>
      <c r="J12" s="8"/>
      <c r="L12" s="17"/>
      <c r="M12" s="8"/>
      <c r="O12" s="17" t="s">
        <v>126</v>
      </c>
      <c r="P12" s="8">
        <v>-5</v>
      </c>
      <c r="R12" s="17"/>
      <c r="S12" s="8"/>
    </row>
    <row r="13" spans="1:22" x14ac:dyDescent="0.15">
      <c r="A13" s="5">
        <v>44054</v>
      </c>
      <c r="B13" s="5" t="s">
        <v>4</v>
      </c>
      <c r="C13" s="18"/>
      <c r="D13" s="8"/>
      <c r="F13" s="17"/>
      <c r="G13" s="8"/>
      <c r="I13" s="18"/>
      <c r="J13" s="8"/>
      <c r="L13" s="17"/>
      <c r="M13" s="8"/>
      <c r="O13" s="17" t="s">
        <v>126</v>
      </c>
      <c r="P13" s="8">
        <v>-5</v>
      </c>
      <c r="R13" s="17"/>
      <c r="S13" s="8"/>
    </row>
    <row r="14" spans="1:22" x14ac:dyDescent="0.15">
      <c r="A14" s="5">
        <v>44055</v>
      </c>
      <c r="B14" s="5" t="s">
        <v>6</v>
      </c>
      <c r="C14" s="18"/>
      <c r="D14" s="8"/>
      <c r="F14" s="17"/>
      <c r="G14" s="8"/>
      <c r="I14" s="18"/>
      <c r="J14" s="8"/>
      <c r="L14" s="17"/>
      <c r="M14" s="8"/>
      <c r="O14" s="17" t="s">
        <v>293</v>
      </c>
      <c r="P14" s="8">
        <v>19</v>
      </c>
      <c r="R14" s="17"/>
      <c r="S14" s="8"/>
    </row>
    <row r="15" spans="1:22" x14ac:dyDescent="0.15">
      <c r="A15" s="5">
        <v>44056</v>
      </c>
      <c r="B15" s="5" t="s">
        <v>7</v>
      </c>
      <c r="C15" s="18"/>
      <c r="D15" s="8"/>
      <c r="F15" s="17"/>
      <c r="G15" s="8"/>
      <c r="I15" s="17"/>
      <c r="J15" s="8"/>
      <c r="L15" s="17"/>
      <c r="M15" s="8"/>
      <c r="O15" s="17" t="s">
        <v>126</v>
      </c>
      <c r="P15" s="8">
        <v>15</v>
      </c>
      <c r="R15" s="17"/>
      <c r="S15" s="8"/>
    </row>
    <row r="16" spans="1:22" x14ac:dyDescent="0.15">
      <c r="A16" s="5">
        <v>44057</v>
      </c>
      <c r="B16" s="5" t="s">
        <v>8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40"/>
      <c r="S16" s="33"/>
      <c r="T16" s="41"/>
      <c r="U16" s="41"/>
      <c r="V16" s="41"/>
    </row>
    <row r="17" spans="1:22" x14ac:dyDescent="0.15">
      <c r="A17" s="5">
        <v>44058</v>
      </c>
      <c r="B17" s="5" t="s">
        <v>9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/>
      <c r="S17" s="8"/>
      <c r="T17" s="41"/>
      <c r="U17" s="41"/>
      <c r="V17" s="41"/>
    </row>
    <row r="18" spans="1:22" x14ac:dyDescent="0.15">
      <c r="A18" s="5">
        <v>44059</v>
      </c>
      <c r="B18" s="5" t="s">
        <v>10</v>
      </c>
      <c r="C18" s="18"/>
      <c r="D18" s="8"/>
      <c r="F18" s="17"/>
      <c r="G18" s="8"/>
      <c r="I18" s="17"/>
      <c r="J18" s="8"/>
      <c r="L18" s="17"/>
      <c r="M18" s="8"/>
      <c r="O18" s="17"/>
      <c r="P18" s="8"/>
      <c r="R18" s="17"/>
      <c r="S18" s="8"/>
      <c r="T18" s="41"/>
      <c r="U18" s="41"/>
      <c r="V18" s="41"/>
    </row>
    <row r="19" spans="1:22" x14ac:dyDescent="0.15">
      <c r="A19" s="5">
        <v>44060</v>
      </c>
      <c r="B19" s="5" t="s">
        <v>5</v>
      </c>
      <c r="C19" s="18"/>
      <c r="D19" s="8"/>
      <c r="F19" s="17"/>
      <c r="G19" s="8"/>
      <c r="I19" s="18"/>
      <c r="J19" s="8"/>
      <c r="L19" s="17"/>
      <c r="M19" s="8"/>
      <c r="O19" s="17" t="s">
        <v>126</v>
      </c>
      <c r="P19" s="8">
        <v>-5</v>
      </c>
      <c r="R19" s="40"/>
      <c r="S19" s="33"/>
      <c r="T19" s="41"/>
      <c r="U19" s="41"/>
      <c r="V19" s="41"/>
    </row>
    <row r="20" spans="1:22" x14ac:dyDescent="0.15">
      <c r="A20" s="5">
        <v>44061</v>
      </c>
      <c r="B20" s="5" t="s">
        <v>4</v>
      </c>
      <c r="C20" s="18"/>
      <c r="D20" s="8"/>
      <c r="F20" s="17"/>
      <c r="G20" s="8"/>
      <c r="I20" s="17"/>
      <c r="J20" s="8"/>
      <c r="L20" s="17"/>
      <c r="M20" s="8"/>
      <c r="O20" s="17" t="s">
        <v>126</v>
      </c>
      <c r="P20" s="8">
        <v>-5</v>
      </c>
      <c r="R20" s="40"/>
      <c r="S20" s="33"/>
      <c r="T20" s="41"/>
      <c r="U20" s="41"/>
      <c r="V20" s="41"/>
    </row>
    <row r="21" spans="1:22" x14ac:dyDescent="0.15">
      <c r="A21" s="5">
        <v>44062</v>
      </c>
      <c r="B21" s="5" t="s">
        <v>6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44063</v>
      </c>
      <c r="B22" s="5" t="s">
        <v>7</v>
      </c>
      <c r="C22" s="18"/>
      <c r="D22" s="8"/>
      <c r="F22" s="17"/>
      <c r="G22" s="8"/>
      <c r="I22" s="17"/>
      <c r="J22" s="8"/>
      <c r="L22" s="17"/>
      <c r="M22" s="8"/>
      <c r="O22" s="17" t="s">
        <v>126</v>
      </c>
      <c r="P22" s="8">
        <v>-15</v>
      </c>
      <c r="R22" s="17"/>
      <c r="S22" s="8"/>
      <c r="T22" s="41"/>
      <c r="U22" s="41"/>
      <c r="V22" s="41"/>
    </row>
    <row r="23" spans="1:22" x14ac:dyDescent="0.15">
      <c r="A23" s="5">
        <v>44064</v>
      </c>
      <c r="B23" s="5" t="s">
        <v>8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 t="s">
        <v>126</v>
      </c>
      <c r="S23" s="33">
        <v>5</v>
      </c>
      <c r="T23" s="41"/>
      <c r="U23" s="41"/>
      <c r="V23" s="41"/>
    </row>
    <row r="24" spans="1:22" x14ac:dyDescent="0.15">
      <c r="A24" s="5">
        <v>44065</v>
      </c>
      <c r="B24" s="5" t="s">
        <v>9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17"/>
      <c r="S24" s="8"/>
      <c r="T24" s="41"/>
      <c r="U24" s="41"/>
      <c r="V24" s="41"/>
    </row>
    <row r="25" spans="1:22" x14ac:dyDescent="0.15">
      <c r="A25" s="5">
        <v>44066</v>
      </c>
      <c r="B25" s="5" t="s">
        <v>10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/>
      <c r="S25" s="33"/>
      <c r="T25" s="41"/>
      <c r="U25" s="41"/>
      <c r="V25" s="41"/>
    </row>
    <row r="26" spans="1:22" x14ac:dyDescent="0.15">
      <c r="A26" s="5">
        <v>44067</v>
      </c>
      <c r="B26" s="5" t="s">
        <v>5</v>
      </c>
      <c r="C26" s="18"/>
      <c r="D26" s="8"/>
      <c r="F26" s="17"/>
      <c r="G26" s="8"/>
      <c r="I26" s="17"/>
      <c r="J26" s="8"/>
      <c r="L26" s="17"/>
      <c r="M26" s="8"/>
      <c r="O26" s="17" t="s">
        <v>126</v>
      </c>
      <c r="P26" s="8">
        <v>-5</v>
      </c>
      <c r="R26" s="17"/>
      <c r="S26" s="33"/>
      <c r="T26" s="41"/>
      <c r="U26" s="41"/>
      <c r="V26" s="41"/>
    </row>
    <row r="27" spans="1:22" x14ac:dyDescent="0.15">
      <c r="A27" s="5">
        <v>44068</v>
      </c>
      <c r="B27" s="5" t="s">
        <v>4</v>
      </c>
      <c r="C27" s="18"/>
      <c r="D27" s="8"/>
      <c r="F27" s="17"/>
      <c r="G27" s="8"/>
      <c r="I27" s="17"/>
      <c r="J27" s="8"/>
      <c r="L27" s="17"/>
      <c r="M27" s="8"/>
      <c r="O27" s="17" t="s">
        <v>126</v>
      </c>
      <c r="P27" s="8">
        <v>-5</v>
      </c>
      <c r="R27" s="17"/>
      <c r="S27" s="8"/>
      <c r="T27" s="41"/>
      <c r="U27" s="41"/>
      <c r="V27" s="41"/>
    </row>
    <row r="28" spans="1:22" x14ac:dyDescent="0.15">
      <c r="A28" s="5">
        <v>44069</v>
      </c>
      <c r="B28" s="5" t="s">
        <v>6</v>
      </c>
      <c r="C28" s="18"/>
      <c r="D28" s="8"/>
      <c r="F28" s="17"/>
      <c r="G28" s="8"/>
      <c r="I28" s="17"/>
      <c r="J28" s="8"/>
      <c r="L28" s="17" t="s">
        <v>109</v>
      </c>
      <c r="M28" s="8">
        <v>-20.5</v>
      </c>
      <c r="O28" s="17" t="s">
        <v>294</v>
      </c>
      <c r="P28" s="8">
        <v>21</v>
      </c>
      <c r="R28" s="17"/>
      <c r="S28" s="8"/>
    </row>
    <row r="29" spans="1:22" x14ac:dyDescent="0.15">
      <c r="A29" s="5">
        <v>44070</v>
      </c>
      <c r="B29" s="5" t="s">
        <v>7</v>
      </c>
      <c r="C29" s="18"/>
      <c r="D29" s="8"/>
      <c r="F29" s="17"/>
      <c r="G29" s="8"/>
      <c r="I29" s="17" t="s">
        <v>295</v>
      </c>
      <c r="J29" s="8">
        <v>10</v>
      </c>
      <c r="L29" s="17"/>
      <c r="M29" s="8"/>
      <c r="O29" s="17" t="s">
        <v>295</v>
      </c>
      <c r="P29" s="8">
        <v>-5</v>
      </c>
      <c r="R29" s="17" t="s">
        <v>295</v>
      </c>
      <c r="S29" s="8">
        <v>5</v>
      </c>
    </row>
    <row r="30" spans="1:22" x14ac:dyDescent="0.15">
      <c r="A30" s="5">
        <v>44071</v>
      </c>
      <c r="B30" s="5" t="s">
        <v>8</v>
      </c>
      <c r="C30" s="18"/>
      <c r="D30" s="8"/>
      <c r="F30" s="17"/>
      <c r="G30" s="8"/>
      <c r="I30" s="17"/>
      <c r="J30" s="8"/>
      <c r="L30" s="17"/>
      <c r="M30" s="8"/>
      <c r="O30" s="17" t="s">
        <v>126</v>
      </c>
      <c r="P30" s="8">
        <v>-5</v>
      </c>
      <c r="R30" s="17"/>
      <c r="S30" s="8"/>
    </row>
    <row r="31" spans="1:22" x14ac:dyDescent="0.15">
      <c r="A31" s="5">
        <v>44072</v>
      </c>
      <c r="B31" s="5" t="s">
        <v>9</v>
      </c>
      <c r="C31" s="18"/>
      <c r="D31" s="8"/>
      <c r="F31" s="18"/>
      <c r="G31" s="8"/>
      <c r="I31" s="17"/>
      <c r="J31" s="8"/>
      <c r="L31" s="17"/>
      <c r="M31" s="8"/>
      <c r="O31" s="17"/>
      <c r="P31" s="8"/>
      <c r="R31" s="17"/>
      <c r="S31" s="8"/>
    </row>
    <row r="32" spans="1:22" x14ac:dyDescent="0.15">
      <c r="A32" s="5">
        <v>44073</v>
      </c>
      <c r="B32" s="5" t="s">
        <v>10</v>
      </c>
      <c r="C32" s="18"/>
      <c r="D32" s="8"/>
      <c r="F32" s="18"/>
      <c r="G32" s="8"/>
      <c r="I32" s="17"/>
      <c r="J32" s="8"/>
      <c r="L32" s="17"/>
      <c r="M32" s="8"/>
      <c r="O32" s="17"/>
      <c r="P32" s="8"/>
      <c r="R32" s="17"/>
      <c r="S32" s="8"/>
    </row>
    <row r="33" spans="1:19" x14ac:dyDescent="0.15">
      <c r="A33" s="5">
        <v>44074</v>
      </c>
      <c r="B33" s="5" t="s">
        <v>5</v>
      </c>
      <c r="F33" s="18"/>
      <c r="G33" s="8"/>
      <c r="I33" s="18"/>
      <c r="J33" s="8"/>
      <c r="L33" s="18"/>
      <c r="M33" s="8"/>
      <c r="O33" s="17" t="s">
        <v>126</v>
      </c>
      <c r="P33" s="8">
        <v>-5</v>
      </c>
      <c r="R33" s="18"/>
      <c r="S33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selection activeCell="L28" sqref="L28"/>
    </sheetView>
  </sheetViews>
  <sheetFormatPr defaultRowHeight="13.5" x14ac:dyDescent="0.15"/>
  <cols>
    <col min="1" max="1" width="8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0</v>
      </c>
      <c r="G2" s="43"/>
      <c r="H2" s="14"/>
      <c r="I2" s="42">
        <f>SUM(J:J)</f>
        <v>0</v>
      </c>
      <c r="J2" s="43"/>
      <c r="K2" s="14"/>
      <c r="L2" s="42">
        <f>SUM(M:M)</f>
        <v>-127</v>
      </c>
      <c r="M2" s="43"/>
      <c r="O2" s="42">
        <f>SUM(P:P)</f>
        <v>41.5</v>
      </c>
      <c r="P2" s="43"/>
      <c r="R2" s="42">
        <f>SUM(S:S)</f>
        <v>16</v>
      </c>
      <c r="S2" s="43"/>
    </row>
    <row r="3" spans="1:22" x14ac:dyDescent="0.15">
      <c r="A3" s="5">
        <v>44013</v>
      </c>
      <c r="B3" s="5" t="s">
        <v>6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22" x14ac:dyDescent="0.15">
      <c r="A4" s="5">
        <v>44014</v>
      </c>
      <c r="B4" s="5" t="s">
        <v>7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22" x14ac:dyDescent="0.15">
      <c r="A5" s="5">
        <v>44015</v>
      </c>
      <c r="B5" s="5" t="s">
        <v>8</v>
      </c>
      <c r="C5" s="18"/>
      <c r="D5" s="8"/>
      <c r="F5" s="17"/>
      <c r="G5" s="8"/>
      <c r="I5" s="17"/>
      <c r="J5" s="8"/>
      <c r="L5" s="17" t="s">
        <v>290</v>
      </c>
      <c r="M5" s="8">
        <v>-44</v>
      </c>
      <c r="O5" s="17"/>
      <c r="P5" s="8"/>
      <c r="R5" s="17"/>
      <c r="S5" s="8"/>
    </row>
    <row r="6" spans="1:22" x14ac:dyDescent="0.15">
      <c r="A6" s="5">
        <v>44016</v>
      </c>
      <c r="B6" s="5" t="s">
        <v>9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/>
      <c r="S6" s="8"/>
    </row>
    <row r="7" spans="1:22" x14ac:dyDescent="0.15">
      <c r="A7" s="5">
        <v>44017</v>
      </c>
      <c r="B7" s="5" t="s">
        <v>10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44018</v>
      </c>
      <c r="B8" s="5" t="s">
        <v>5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22" x14ac:dyDescent="0.15">
      <c r="A9" s="5">
        <v>44019</v>
      </c>
      <c r="B9" s="5" t="s">
        <v>4</v>
      </c>
      <c r="C9" s="18"/>
      <c r="D9" s="8"/>
      <c r="F9" s="17"/>
      <c r="G9" s="8"/>
      <c r="I9" s="17"/>
      <c r="J9" s="8"/>
      <c r="L9" s="17"/>
      <c r="M9" s="8"/>
      <c r="O9" s="17"/>
      <c r="P9" s="8"/>
      <c r="R9" s="17"/>
      <c r="S9" s="8"/>
    </row>
    <row r="10" spans="1:22" x14ac:dyDescent="0.15">
      <c r="A10" s="5">
        <v>44020</v>
      </c>
      <c r="B10" s="5" t="s">
        <v>6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22" x14ac:dyDescent="0.15">
      <c r="A11" s="5">
        <v>44021</v>
      </c>
      <c r="B11" s="5" t="s">
        <v>7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22" x14ac:dyDescent="0.15">
      <c r="A12" s="5">
        <v>44022</v>
      </c>
      <c r="B12" s="5" t="s">
        <v>8</v>
      </c>
      <c r="C12" s="18"/>
      <c r="D12" s="8"/>
      <c r="F12" s="17"/>
      <c r="G12" s="8"/>
      <c r="I12" s="18"/>
      <c r="J12" s="8"/>
      <c r="L12" s="17" t="s">
        <v>109</v>
      </c>
      <c r="M12" s="8">
        <v>-44</v>
      </c>
      <c r="O12" s="17"/>
      <c r="P12" s="8"/>
      <c r="R12" s="17"/>
      <c r="S12" s="8"/>
    </row>
    <row r="13" spans="1:22" x14ac:dyDescent="0.15">
      <c r="A13" s="5">
        <v>44023</v>
      </c>
      <c r="B13" s="5" t="s">
        <v>9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22" x14ac:dyDescent="0.15">
      <c r="A14" s="5">
        <v>44024</v>
      </c>
      <c r="B14" s="5" t="s">
        <v>10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/>
      <c r="S14" s="8"/>
    </row>
    <row r="15" spans="1:22" x14ac:dyDescent="0.15">
      <c r="A15" s="5">
        <v>44025</v>
      </c>
      <c r="B15" s="5" t="s">
        <v>5</v>
      </c>
      <c r="C15" s="18"/>
      <c r="D15" s="8"/>
      <c r="F15" s="17"/>
      <c r="G15" s="8"/>
      <c r="I15" s="17"/>
      <c r="J15" s="8"/>
      <c r="L15" s="17"/>
      <c r="M15" s="8"/>
      <c r="O15" s="17"/>
      <c r="P15" s="8"/>
      <c r="R15" s="17"/>
      <c r="S15" s="8"/>
    </row>
    <row r="16" spans="1:22" x14ac:dyDescent="0.15">
      <c r="A16" s="5">
        <v>44026</v>
      </c>
      <c r="B16" s="5" t="s">
        <v>4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40"/>
      <c r="S16" s="33"/>
      <c r="T16" s="41"/>
      <c r="U16" s="41"/>
      <c r="V16" s="41"/>
    </row>
    <row r="17" spans="1:22" x14ac:dyDescent="0.15">
      <c r="A17" s="5">
        <v>44027</v>
      </c>
      <c r="B17" s="5" t="s">
        <v>6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/>
      <c r="S17" s="8"/>
      <c r="T17" s="41"/>
      <c r="U17" s="41"/>
      <c r="V17" s="41"/>
    </row>
    <row r="18" spans="1:22" x14ac:dyDescent="0.15">
      <c r="A18" s="5">
        <v>44028</v>
      </c>
      <c r="B18" s="5" t="s">
        <v>7</v>
      </c>
      <c r="C18" s="18"/>
      <c r="D18" s="8"/>
      <c r="F18" s="17"/>
      <c r="G18" s="8"/>
      <c r="I18" s="17"/>
      <c r="J18" s="8"/>
      <c r="L18" s="17"/>
      <c r="M18" s="8"/>
      <c r="O18" s="17"/>
      <c r="P18" s="8"/>
      <c r="R18" s="17"/>
      <c r="S18" s="8"/>
      <c r="T18" s="41"/>
      <c r="U18" s="41"/>
      <c r="V18" s="41"/>
    </row>
    <row r="19" spans="1:22" x14ac:dyDescent="0.15">
      <c r="A19" s="5">
        <v>44029</v>
      </c>
      <c r="B19" s="5" t="s">
        <v>8</v>
      </c>
      <c r="C19" s="18"/>
      <c r="D19" s="8"/>
      <c r="F19" s="17"/>
      <c r="G19" s="8"/>
      <c r="I19" s="18"/>
      <c r="J19" s="8"/>
      <c r="L19" s="17" t="s">
        <v>109</v>
      </c>
      <c r="M19" s="8">
        <v>-39</v>
      </c>
      <c r="O19" s="17"/>
      <c r="P19" s="8"/>
      <c r="R19" s="40"/>
      <c r="S19" s="33"/>
      <c r="T19" s="41"/>
      <c r="U19" s="41"/>
      <c r="V19" s="41"/>
    </row>
    <row r="20" spans="1:22" x14ac:dyDescent="0.15">
      <c r="A20" s="5">
        <v>44030</v>
      </c>
      <c r="B20" s="5" t="s">
        <v>9</v>
      </c>
      <c r="C20" s="18"/>
      <c r="D20" s="8"/>
      <c r="F20" s="17"/>
      <c r="G20" s="8"/>
      <c r="I20" s="17"/>
      <c r="J20" s="8"/>
      <c r="L20" s="17"/>
      <c r="M20" s="8"/>
      <c r="O20" s="17"/>
      <c r="P20" s="8"/>
      <c r="R20" s="40"/>
      <c r="S20" s="33"/>
      <c r="T20" s="41"/>
      <c r="U20" s="41"/>
      <c r="V20" s="41"/>
    </row>
    <row r="21" spans="1:22" x14ac:dyDescent="0.15">
      <c r="A21" s="5">
        <v>44031</v>
      </c>
      <c r="B21" s="5" t="s">
        <v>10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44032</v>
      </c>
      <c r="B22" s="5" t="s">
        <v>5</v>
      </c>
      <c r="C22" s="18"/>
      <c r="D22" s="8"/>
      <c r="F22" s="17"/>
      <c r="G22" s="8"/>
      <c r="I22" s="17"/>
      <c r="J22" s="8"/>
      <c r="L22" s="17"/>
      <c r="M22" s="8"/>
      <c r="O22" s="17" t="s">
        <v>291</v>
      </c>
      <c r="P22" s="8">
        <v>-5</v>
      </c>
      <c r="R22" s="17"/>
      <c r="S22" s="8"/>
      <c r="T22" s="41"/>
      <c r="U22" s="41"/>
      <c r="V22" s="41"/>
    </row>
    <row r="23" spans="1:22" x14ac:dyDescent="0.15">
      <c r="A23" s="5">
        <v>44033</v>
      </c>
      <c r="B23" s="5" t="s">
        <v>4</v>
      </c>
      <c r="C23" s="18"/>
      <c r="D23" s="8"/>
      <c r="F23" s="17"/>
      <c r="G23" s="8"/>
      <c r="I23" s="17"/>
      <c r="J23" s="8"/>
      <c r="L23" s="17"/>
      <c r="M23" s="8"/>
      <c r="O23" s="17" t="s">
        <v>126</v>
      </c>
      <c r="P23" s="8">
        <v>-5</v>
      </c>
      <c r="R23" s="17" t="s">
        <v>126</v>
      </c>
      <c r="S23" s="33">
        <v>6</v>
      </c>
      <c r="T23" s="41"/>
      <c r="U23" s="41"/>
      <c r="V23" s="41"/>
    </row>
    <row r="24" spans="1:22" x14ac:dyDescent="0.15">
      <c r="A24" s="5">
        <v>44034</v>
      </c>
      <c r="B24" s="5" t="s">
        <v>6</v>
      </c>
      <c r="C24" s="18"/>
      <c r="D24" s="8"/>
      <c r="F24" s="17"/>
      <c r="G24" s="8"/>
      <c r="I24" s="18"/>
      <c r="J24" s="8"/>
      <c r="L24" s="17"/>
      <c r="M24" s="8"/>
      <c r="O24" s="17" t="s">
        <v>109</v>
      </c>
      <c r="P24" s="8">
        <v>22</v>
      </c>
      <c r="R24" s="17"/>
      <c r="S24" s="8"/>
      <c r="T24" s="41"/>
      <c r="U24" s="41"/>
      <c r="V24" s="41"/>
    </row>
    <row r="25" spans="1:22" x14ac:dyDescent="0.15">
      <c r="A25" s="5">
        <v>44035</v>
      </c>
      <c r="B25" s="5" t="s">
        <v>7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 t="s">
        <v>126</v>
      </c>
      <c r="S25" s="33">
        <v>10</v>
      </c>
      <c r="T25" s="41"/>
      <c r="U25" s="41"/>
      <c r="V25" s="41"/>
    </row>
    <row r="26" spans="1:22" x14ac:dyDescent="0.15">
      <c r="A26" s="5">
        <v>44036</v>
      </c>
      <c r="B26" s="5" t="s">
        <v>8</v>
      </c>
      <c r="C26" s="18"/>
      <c r="D26" s="8"/>
      <c r="F26" s="17"/>
      <c r="G26" s="8"/>
      <c r="I26" s="17"/>
      <c r="J26" s="8"/>
      <c r="L26" s="17"/>
      <c r="M26" s="8"/>
      <c r="O26" s="17"/>
      <c r="P26" s="8"/>
      <c r="R26" s="17"/>
      <c r="S26" s="33"/>
      <c r="T26" s="41"/>
      <c r="U26" s="41"/>
      <c r="V26" s="41"/>
    </row>
    <row r="27" spans="1:22" x14ac:dyDescent="0.15">
      <c r="A27" s="5">
        <v>44037</v>
      </c>
      <c r="B27" s="5" t="s">
        <v>9</v>
      </c>
      <c r="C27" s="18"/>
      <c r="D27" s="8"/>
      <c r="F27" s="17"/>
      <c r="G27" s="8"/>
      <c r="I27" s="17"/>
      <c r="J27" s="8"/>
      <c r="L27" s="17"/>
      <c r="M27" s="8"/>
      <c r="O27" s="17"/>
      <c r="P27" s="8"/>
      <c r="R27" s="17"/>
      <c r="S27" s="8"/>
      <c r="T27" s="41"/>
      <c r="U27" s="41"/>
      <c r="V27" s="41"/>
    </row>
    <row r="28" spans="1:22" x14ac:dyDescent="0.15">
      <c r="A28" s="5">
        <v>44038</v>
      </c>
      <c r="B28" s="5" t="s">
        <v>10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8"/>
    </row>
    <row r="29" spans="1:22" x14ac:dyDescent="0.15">
      <c r="A29" s="5">
        <v>44039</v>
      </c>
      <c r="B29" s="5" t="s">
        <v>5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/>
      <c r="S29" s="8"/>
    </row>
    <row r="30" spans="1:22" x14ac:dyDescent="0.15">
      <c r="A30" s="5">
        <v>44040</v>
      </c>
      <c r="B30" s="5" t="s">
        <v>4</v>
      </c>
      <c r="C30" s="18"/>
      <c r="D30" s="8"/>
      <c r="F30" s="17"/>
      <c r="G30" s="8"/>
      <c r="I30" s="17"/>
      <c r="J30" s="8"/>
      <c r="L30" s="17"/>
      <c r="M30" s="8"/>
      <c r="O30" s="17"/>
      <c r="P30" s="8"/>
      <c r="R30" s="17"/>
      <c r="S30" s="8"/>
    </row>
    <row r="31" spans="1:22" x14ac:dyDescent="0.15">
      <c r="A31" s="5">
        <v>44041</v>
      </c>
      <c r="B31" s="5" t="s">
        <v>6</v>
      </c>
      <c r="C31" s="18"/>
      <c r="D31" s="8"/>
      <c r="F31" s="18"/>
      <c r="G31" s="8"/>
      <c r="I31" s="17"/>
      <c r="J31" s="8"/>
      <c r="L31" s="17"/>
      <c r="M31" s="8"/>
      <c r="O31" s="17" t="s">
        <v>126</v>
      </c>
      <c r="P31" s="8">
        <v>19.5</v>
      </c>
      <c r="R31" s="17"/>
      <c r="S31" s="8"/>
    </row>
    <row r="32" spans="1:22" x14ac:dyDescent="0.15">
      <c r="A32" s="5">
        <v>44042</v>
      </c>
      <c r="B32" s="5" t="s">
        <v>7</v>
      </c>
      <c r="C32" s="18"/>
      <c r="D32" s="8"/>
      <c r="F32" s="18"/>
      <c r="G32" s="8"/>
      <c r="I32" s="17"/>
      <c r="J32" s="8"/>
      <c r="L32" s="17"/>
      <c r="M32" s="8"/>
      <c r="O32" s="17" t="s">
        <v>126</v>
      </c>
      <c r="P32" s="8">
        <v>10</v>
      </c>
      <c r="R32" s="17"/>
      <c r="S32" s="8"/>
    </row>
    <row r="33" spans="1:2" x14ac:dyDescent="0.15">
      <c r="A33" s="5">
        <v>44043</v>
      </c>
      <c r="B33" s="5" t="s">
        <v>8</v>
      </c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10" workbookViewId="0">
      <selection activeCell="G38" sqref="G38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0</v>
      </c>
      <c r="G2" s="43"/>
      <c r="H2" s="14"/>
      <c r="I2" s="42">
        <f>SUM(J:J)</f>
        <v>0</v>
      </c>
      <c r="J2" s="43"/>
      <c r="K2" s="14"/>
      <c r="L2" s="42">
        <f>SUM(M:M)</f>
        <v>40</v>
      </c>
      <c r="M2" s="43"/>
      <c r="O2" s="42">
        <f>SUM(P:P)</f>
        <v>0</v>
      </c>
      <c r="P2" s="43"/>
      <c r="R2" s="42">
        <f>SUM(S:S)</f>
        <v>-178</v>
      </c>
      <c r="S2" s="43"/>
    </row>
    <row r="3" spans="1:22" x14ac:dyDescent="0.15">
      <c r="A3" s="5">
        <v>43983</v>
      </c>
      <c r="B3" s="5" t="s">
        <v>5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22" x14ac:dyDescent="0.15">
      <c r="A4" s="5">
        <v>43984</v>
      </c>
      <c r="B4" s="5" t="s">
        <v>4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22" x14ac:dyDescent="0.15">
      <c r="A5" s="5">
        <v>43985</v>
      </c>
      <c r="B5" s="5" t="s">
        <v>6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 t="s">
        <v>287</v>
      </c>
      <c r="S5" s="8">
        <v>22</v>
      </c>
    </row>
    <row r="6" spans="1:22" x14ac:dyDescent="0.15">
      <c r="A6" s="5">
        <v>43986</v>
      </c>
      <c r="B6" s="5" t="s">
        <v>7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/>
      <c r="S6" s="8"/>
    </row>
    <row r="7" spans="1:22" x14ac:dyDescent="0.15">
      <c r="A7" s="5">
        <v>43987</v>
      </c>
      <c r="B7" s="5" t="s">
        <v>8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43988</v>
      </c>
      <c r="B8" s="5" t="s">
        <v>9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22" x14ac:dyDescent="0.15">
      <c r="A9" s="5">
        <v>43989</v>
      </c>
      <c r="B9" s="5" t="s">
        <v>10</v>
      </c>
      <c r="C9" s="18"/>
      <c r="D9" s="8"/>
      <c r="F9" s="17"/>
      <c r="G9" s="8"/>
      <c r="I9" s="17"/>
      <c r="J9" s="8"/>
      <c r="L9" s="17"/>
      <c r="M9" s="8"/>
      <c r="O9" s="17"/>
      <c r="P9" s="8"/>
      <c r="R9" s="17"/>
      <c r="S9" s="8"/>
    </row>
    <row r="10" spans="1:22" x14ac:dyDescent="0.15">
      <c r="A10" s="5">
        <v>43990</v>
      </c>
      <c r="B10" s="5" t="s">
        <v>5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22" x14ac:dyDescent="0.15">
      <c r="A11" s="5">
        <v>43991</v>
      </c>
      <c r="B11" s="5" t="s">
        <v>4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22" x14ac:dyDescent="0.15">
      <c r="A12" s="5">
        <v>43992</v>
      </c>
      <c r="B12" s="5" t="s">
        <v>6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22" x14ac:dyDescent="0.15">
      <c r="A13" s="5">
        <v>43993</v>
      </c>
      <c r="B13" s="5" t="s">
        <v>7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22" x14ac:dyDescent="0.15">
      <c r="A14" s="5">
        <v>43994</v>
      </c>
      <c r="B14" s="5" t="s">
        <v>8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/>
      <c r="S14" s="8"/>
    </row>
    <row r="15" spans="1:22" x14ac:dyDescent="0.15">
      <c r="A15" s="5">
        <v>43995</v>
      </c>
      <c r="B15" s="5" t="s">
        <v>9</v>
      </c>
      <c r="C15" s="18"/>
      <c r="D15" s="8"/>
      <c r="F15" s="17"/>
      <c r="G15" s="8"/>
      <c r="I15" s="17"/>
      <c r="J15" s="8"/>
      <c r="L15" s="17"/>
      <c r="M15" s="8"/>
      <c r="O15" s="17"/>
      <c r="P15" s="8"/>
      <c r="R15" s="17"/>
      <c r="S15" s="8"/>
    </row>
    <row r="16" spans="1:22" x14ac:dyDescent="0.15">
      <c r="A16" s="5">
        <v>43996</v>
      </c>
      <c r="B16" s="5" t="s">
        <v>10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40"/>
      <c r="S16" s="33"/>
      <c r="T16" s="41"/>
      <c r="U16" s="41"/>
      <c r="V16" s="41"/>
    </row>
    <row r="17" spans="1:22" x14ac:dyDescent="0.15">
      <c r="A17" s="5">
        <v>43997</v>
      </c>
      <c r="B17" s="5" t="s">
        <v>5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/>
      <c r="S17" s="8"/>
      <c r="T17" s="41"/>
      <c r="U17" s="41"/>
      <c r="V17" s="41"/>
    </row>
    <row r="18" spans="1:22" x14ac:dyDescent="0.15">
      <c r="A18" s="5">
        <v>43998</v>
      </c>
      <c r="B18" s="5" t="s">
        <v>4</v>
      </c>
      <c r="C18" s="18"/>
      <c r="D18" s="8"/>
      <c r="F18" s="17"/>
      <c r="G18" s="8"/>
      <c r="I18" s="17"/>
      <c r="J18" s="8"/>
      <c r="L18" s="17"/>
      <c r="M18" s="8"/>
      <c r="O18" s="17"/>
      <c r="P18" s="8"/>
      <c r="R18" s="17"/>
      <c r="S18" s="8"/>
      <c r="T18" s="41"/>
      <c r="U18" s="41"/>
      <c r="V18" s="41"/>
    </row>
    <row r="19" spans="1:22" x14ac:dyDescent="0.15">
      <c r="A19" s="5">
        <v>43999</v>
      </c>
      <c r="B19" s="5" t="s">
        <v>6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40"/>
      <c r="S19" s="33"/>
      <c r="T19" s="41"/>
      <c r="U19" s="41"/>
      <c r="V19" s="41"/>
    </row>
    <row r="20" spans="1:22" x14ac:dyDescent="0.15">
      <c r="A20" s="5">
        <v>44000</v>
      </c>
      <c r="B20" s="5" t="s">
        <v>7</v>
      </c>
      <c r="C20" s="18"/>
      <c r="D20" s="8"/>
      <c r="F20" s="17"/>
      <c r="G20" s="8"/>
      <c r="I20" s="17"/>
      <c r="J20" s="8"/>
      <c r="L20" s="17"/>
      <c r="M20" s="8"/>
      <c r="O20" s="17"/>
      <c r="P20" s="8"/>
      <c r="R20" s="40"/>
      <c r="S20" s="33"/>
      <c r="T20" s="41"/>
      <c r="U20" s="41"/>
      <c r="V20" s="41"/>
    </row>
    <row r="21" spans="1:22" x14ac:dyDescent="0.15">
      <c r="A21" s="5">
        <v>44001</v>
      </c>
      <c r="B21" s="5" t="s">
        <v>8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44002</v>
      </c>
      <c r="B22" s="5" t="s">
        <v>9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  <c r="T22" s="41"/>
      <c r="U22" s="41"/>
      <c r="V22" s="41"/>
    </row>
    <row r="23" spans="1:22" x14ac:dyDescent="0.15">
      <c r="A23" s="5">
        <v>44003</v>
      </c>
      <c r="B23" s="5" t="s">
        <v>10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/>
      <c r="S23" s="33"/>
      <c r="T23" s="41"/>
      <c r="U23" s="41"/>
      <c r="V23" s="41"/>
    </row>
    <row r="24" spans="1:22" x14ac:dyDescent="0.15">
      <c r="A24" s="5">
        <v>44004</v>
      </c>
      <c r="B24" s="5" t="s">
        <v>5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17"/>
      <c r="S24" s="8"/>
      <c r="T24" s="41"/>
      <c r="U24" s="41"/>
      <c r="V24" s="41"/>
    </row>
    <row r="25" spans="1:22" x14ac:dyDescent="0.15">
      <c r="A25" s="5">
        <v>44005</v>
      </c>
      <c r="B25" s="5" t="s">
        <v>4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/>
      <c r="S25" s="33"/>
      <c r="T25" s="41"/>
      <c r="U25" s="41"/>
      <c r="V25" s="41"/>
    </row>
    <row r="26" spans="1:22" x14ac:dyDescent="0.15">
      <c r="A26" s="5">
        <v>44006</v>
      </c>
      <c r="B26" s="5" t="s">
        <v>6</v>
      </c>
      <c r="C26" s="18"/>
      <c r="D26" s="8"/>
      <c r="F26" s="17"/>
      <c r="G26" s="8"/>
      <c r="I26" s="17"/>
      <c r="J26" s="8"/>
      <c r="L26" s="17" t="s">
        <v>288</v>
      </c>
      <c r="M26" s="8">
        <v>40</v>
      </c>
      <c r="O26" s="17"/>
      <c r="P26" s="8"/>
      <c r="R26" s="17"/>
      <c r="S26" s="33"/>
      <c r="T26" s="41"/>
      <c r="U26" s="41"/>
      <c r="V26" s="41"/>
    </row>
    <row r="27" spans="1:22" x14ac:dyDescent="0.15">
      <c r="A27" s="5">
        <v>44007</v>
      </c>
      <c r="B27" s="5" t="s">
        <v>7</v>
      </c>
      <c r="C27" s="18"/>
      <c r="D27" s="8"/>
      <c r="F27" s="17"/>
      <c r="G27" s="8"/>
      <c r="I27" s="17"/>
      <c r="J27" s="8"/>
      <c r="L27" s="17"/>
      <c r="M27" s="8"/>
      <c r="O27" s="17"/>
      <c r="P27" s="8"/>
      <c r="R27" s="17"/>
      <c r="S27" s="8"/>
      <c r="T27" s="41"/>
      <c r="U27" s="41"/>
      <c r="V27" s="41"/>
    </row>
    <row r="28" spans="1:22" x14ac:dyDescent="0.15">
      <c r="A28" s="5">
        <v>44008</v>
      </c>
      <c r="B28" s="5" t="s">
        <v>8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8"/>
    </row>
    <row r="29" spans="1:22" x14ac:dyDescent="0.15">
      <c r="A29" s="5">
        <v>44009</v>
      </c>
      <c r="B29" s="5" t="s">
        <v>9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/>
      <c r="S29" s="8"/>
    </row>
    <row r="30" spans="1:22" x14ac:dyDescent="0.15">
      <c r="A30" s="5">
        <v>44010</v>
      </c>
      <c r="B30" s="5" t="s">
        <v>10</v>
      </c>
      <c r="C30" s="18"/>
      <c r="D30" s="8"/>
      <c r="F30" s="17"/>
      <c r="G30" s="8"/>
      <c r="I30" s="17"/>
      <c r="J30" s="8"/>
      <c r="L30" s="17"/>
      <c r="M30" s="8"/>
      <c r="O30" s="17"/>
      <c r="P30" s="8"/>
      <c r="R30" s="17"/>
      <c r="S30" s="8"/>
    </row>
    <row r="31" spans="1:22" x14ac:dyDescent="0.15">
      <c r="A31" s="5">
        <v>44011</v>
      </c>
      <c r="B31" s="5" t="s">
        <v>5</v>
      </c>
      <c r="C31" s="18"/>
      <c r="D31" s="8"/>
      <c r="F31" s="18"/>
      <c r="G31" s="8"/>
      <c r="I31" s="17"/>
      <c r="J31" s="8"/>
      <c r="L31" s="17"/>
      <c r="M31" s="8"/>
      <c r="O31" s="17"/>
      <c r="P31" s="8"/>
      <c r="R31" s="17"/>
      <c r="S31" s="8"/>
    </row>
    <row r="32" spans="1:22" x14ac:dyDescent="0.15">
      <c r="A32" s="5">
        <v>44012</v>
      </c>
      <c r="B32" s="5" t="s">
        <v>4</v>
      </c>
      <c r="C32" s="18"/>
      <c r="D32" s="8"/>
      <c r="F32" s="18"/>
      <c r="G32" s="8"/>
      <c r="I32" s="17"/>
      <c r="J32" s="8"/>
      <c r="L32" s="17"/>
      <c r="M32" s="8"/>
      <c r="O32" s="17"/>
      <c r="P32" s="8"/>
      <c r="R32" s="17" t="s">
        <v>289</v>
      </c>
      <c r="S32" s="8">
        <v>-200</v>
      </c>
    </row>
    <row r="33" spans="1:2" x14ac:dyDescent="0.15">
      <c r="A33" s="5"/>
      <c r="B33" s="5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4" workbookViewId="0">
      <selection activeCell="F32" sqref="F32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0</v>
      </c>
      <c r="G2" s="43"/>
      <c r="H2" s="14"/>
      <c r="I2" s="42">
        <f>SUM(J:J)</f>
        <v>0</v>
      </c>
      <c r="J2" s="43"/>
      <c r="K2" s="14"/>
      <c r="L2" s="42">
        <f>SUM(M:M)</f>
        <v>0</v>
      </c>
      <c r="M2" s="43"/>
      <c r="O2" s="42">
        <f>SUM(P:P)</f>
        <v>0</v>
      </c>
      <c r="P2" s="43"/>
      <c r="R2" s="42">
        <f>SUM(S:S)</f>
        <v>123</v>
      </c>
      <c r="S2" s="43"/>
    </row>
    <row r="3" spans="1:22" x14ac:dyDescent="0.15">
      <c r="A3" s="5">
        <v>43952</v>
      </c>
      <c r="B3" s="5" t="s">
        <v>8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22" x14ac:dyDescent="0.15">
      <c r="A4" s="5">
        <v>43953</v>
      </c>
      <c r="B4" s="5" t="s">
        <v>9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22" x14ac:dyDescent="0.15">
      <c r="A5" s="5">
        <v>43954</v>
      </c>
      <c r="B5" s="5" t="s">
        <v>10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/>
      <c r="S5" s="8"/>
    </row>
    <row r="6" spans="1:22" x14ac:dyDescent="0.15">
      <c r="A6" s="5">
        <v>43955</v>
      </c>
      <c r="B6" s="5" t="s">
        <v>5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 t="s">
        <v>283</v>
      </c>
      <c r="S6" s="8">
        <v>17</v>
      </c>
    </row>
    <row r="7" spans="1:22" x14ac:dyDescent="0.15">
      <c r="A7" s="5">
        <v>43956</v>
      </c>
      <c r="B7" s="5" t="s">
        <v>4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43957</v>
      </c>
      <c r="B8" s="5" t="s">
        <v>6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 t="s">
        <v>284</v>
      </c>
      <c r="S8" s="8">
        <v>19</v>
      </c>
    </row>
    <row r="9" spans="1:22" x14ac:dyDescent="0.15">
      <c r="A9" s="5">
        <v>43958</v>
      </c>
      <c r="B9" s="5" t="s">
        <v>7</v>
      </c>
      <c r="C9" s="18"/>
      <c r="D9" s="8"/>
      <c r="F9" s="17"/>
      <c r="G9" s="8"/>
      <c r="I9" s="17"/>
      <c r="J9" s="8"/>
      <c r="L9" s="17"/>
      <c r="M9" s="8"/>
      <c r="O9" s="17"/>
      <c r="P9" s="8"/>
      <c r="R9" s="17"/>
      <c r="S9" s="8"/>
    </row>
    <row r="10" spans="1:22" x14ac:dyDescent="0.15">
      <c r="A10" s="5">
        <v>43959</v>
      </c>
      <c r="B10" s="5" t="s">
        <v>8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22" x14ac:dyDescent="0.15">
      <c r="A11" s="5">
        <v>43960</v>
      </c>
      <c r="B11" s="5" t="s">
        <v>9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22" x14ac:dyDescent="0.15">
      <c r="A12" s="5">
        <v>43961</v>
      </c>
      <c r="B12" s="5" t="s">
        <v>10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22" x14ac:dyDescent="0.15">
      <c r="A13" s="5">
        <v>43962</v>
      </c>
      <c r="B13" s="5" t="s">
        <v>5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 t="s">
        <v>285</v>
      </c>
      <c r="S13" s="8">
        <v>7</v>
      </c>
    </row>
    <row r="14" spans="1:22" x14ac:dyDescent="0.15">
      <c r="A14" s="5">
        <v>43963</v>
      </c>
      <c r="B14" s="5" t="s">
        <v>4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 t="s">
        <v>285</v>
      </c>
      <c r="S14" s="8">
        <v>12</v>
      </c>
    </row>
    <row r="15" spans="1:22" x14ac:dyDescent="0.15">
      <c r="A15" s="5">
        <v>43964</v>
      </c>
      <c r="B15" s="5" t="s">
        <v>6</v>
      </c>
      <c r="C15" s="18"/>
      <c r="D15" s="8"/>
      <c r="F15" s="17"/>
      <c r="G15" s="8"/>
      <c r="I15" s="17"/>
      <c r="J15" s="8"/>
      <c r="L15" s="17"/>
      <c r="M15" s="8"/>
      <c r="O15" s="17"/>
      <c r="P15" s="8"/>
      <c r="R15" s="17" t="s">
        <v>126</v>
      </c>
      <c r="S15" s="8">
        <v>7</v>
      </c>
    </row>
    <row r="16" spans="1:22" x14ac:dyDescent="0.15">
      <c r="A16" s="5">
        <v>43965</v>
      </c>
      <c r="B16" s="5" t="s">
        <v>7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40"/>
      <c r="S16" s="33"/>
      <c r="T16" s="41"/>
      <c r="U16" s="41"/>
      <c r="V16" s="41"/>
    </row>
    <row r="17" spans="1:22" x14ac:dyDescent="0.15">
      <c r="A17" s="5">
        <v>43966</v>
      </c>
      <c r="B17" s="5" t="s">
        <v>8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 t="s">
        <v>126</v>
      </c>
      <c r="S17" s="8">
        <v>7</v>
      </c>
      <c r="T17" s="41"/>
      <c r="U17" s="41"/>
      <c r="V17" s="41"/>
    </row>
    <row r="18" spans="1:22" x14ac:dyDescent="0.15">
      <c r="A18" s="5">
        <v>43967</v>
      </c>
      <c r="B18" s="5" t="s">
        <v>9</v>
      </c>
      <c r="C18" s="18"/>
      <c r="D18" s="8"/>
      <c r="F18" s="17"/>
      <c r="G18" s="8"/>
      <c r="I18" s="17"/>
      <c r="J18" s="8"/>
      <c r="L18" s="17"/>
      <c r="M18" s="8"/>
      <c r="O18" s="17"/>
      <c r="P18" s="8"/>
      <c r="R18" s="17"/>
      <c r="S18" s="8"/>
      <c r="T18" s="41"/>
      <c r="U18" s="41"/>
      <c r="V18" s="41"/>
    </row>
    <row r="19" spans="1:22" x14ac:dyDescent="0.15">
      <c r="A19" s="5">
        <v>43968</v>
      </c>
      <c r="B19" s="5" t="s">
        <v>10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40"/>
      <c r="S19" s="33"/>
      <c r="T19" s="41"/>
      <c r="U19" s="41"/>
      <c r="V19" s="41"/>
    </row>
    <row r="20" spans="1:22" x14ac:dyDescent="0.15">
      <c r="A20" s="5">
        <v>43969</v>
      </c>
      <c r="B20" s="5" t="s">
        <v>5</v>
      </c>
      <c r="C20" s="18"/>
      <c r="D20" s="8"/>
      <c r="F20" s="17"/>
      <c r="G20" s="8"/>
      <c r="I20" s="17"/>
      <c r="J20" s="8"/>
      <c r="L20" s="17"/>
      <c r="M20" s="8"/>
      <c r="O20" s="17"/>
      <c r="P20" s="8"/>
      <c r="R20" s="40"/>
      <c r="S20" s="33"/>
      <c r="T20" s="41"/>
      <c r="U20" s="41"/>
      <c r="V20" s="41"/>
    </row>
    <row r="21" spans="1:22" x14ac:dyDescent="0.15">
      <c r="A21" s="5">
        <v>43970</v>
      </c>
      <c r="B21" s="5" t="s">
        <v>4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43971</v>
      </c>
      <c r="B22" s="5" t="s">
        <v>6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  <c r="T22" s="41"/>
      <c r="U22" s="41"/>
      <c r="V22" s="41"/>
    </row>
    <row r="23" spans="1:22" x14ac:dyDescent="0.15">
      <c r="A23" s="5">
        <v>43972</v>
      </c>
      <c r="B23" s="5" t="s">
        <v>7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/>
      <c r="S23" s="33"/>
      <c r="T23" s="41"/>
      <c r="U23" s="41"/>
      <c r="V23" s="41"/>
    </row>
    <row r="24" spans="1:22" x14ac:dyDescent="0.15">
      <c r="A24" s="5">
        <v>43973</v>
      </c>
      <c r="B24" s="5" t="s">
        <v>8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17" t="s">
        <v>126</v>
      </c>
      <c r="S24" s="8">
        <v>13</v>
      </c>
      <c r="T24" s="41"/>
      <c r="U24" s="41"/>
      <c r="V24" s="41"/>
    </row>
    <row r="25" spans="1:22" x14ac:dyDescent="0.15">
      <c r="A25" s="5">
        <v>43974</v>
      </c>
      <c r="B25" s="5" t="s">
        <v>9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/>
      <c r="S25" s="33"/>
      <c r="T25" s="41"/>
      <c r="U25" s="41"/>
      <c r="V25" s="41"/>
    </row>
    <row r="26" spans="1:22" x14ac:dyDescent="0.15">
      <c r="A26" s="5">
        <v>43975</v>
      </c>
      <c r="B26" s="5" t="s">
        <v>10</v>
      </c>
      <c r="C26" s="18"/>
      <c r="D26" s="8"/>
      <c r="F26" s="17"/>
      <c r="G26" s="8"/>
      <c r="I26" s="17"/>
      <c r="J26" s="8"/>
      <c r="L26" s="17"/>
      <c r="M26" s="8"/>
      <c r="O26" s="17"/>
      <c r="P26" s="8"/>
      <c r="R26" s="17"/>
      <c r="S26" s="33"/>
      <c r="T26" s="41"/>
      <c r="U26" s="41"/>
      <c r="V26" s="41"/>
    </row>
    <row r="27" spans="1:22" x14ac:dyDescent="0.15">
      <c r="A27" s="5">
        <v>43976</v>
      </c>
      <c r="B27" s="5" t="s">
        <v>5</v>
      </c>
      <c r="C27" s="18"/>
      <c r="D27" s="8"/>
      <c r="F27" s="17"/>
      <c r="G27" s="8"/>
      <c r="I27" s="17"/>
      <c r="J27" s="8"/>
      <c r="L27" s="17"/>
      <c r="M27" s="8"/>
      <c r="O27" s="17"/>
      <c r="P27" s="8"/>
      <c r="R27" s="17" t="s">
        <v>126</v>
      </c>
      <c r="S27" s="8">
        <v>7</v>
      </c>
      <c r="T27" s="41"/>
      <c r="U27" s="41"/>
      <c r="V27" s="41"/>
    </row>
    <row r="28" spans="1:22" x14ac:dyDescent="0.15">
      <c r="A28" s="5">
        <v>43977</v>
      </c>
      <c r="B28" s="5" t="s">
        <v>4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8"/>
    </row>
    <row r="29" spans="1:22" x14ac:dyDescent="0.15">
      <c r="A29" s="5">
        <v>43978</v>
      </c>
      <c r="B29" s="5" t="s">
        <v>6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 t="s">
        <v>286</v>
      </c>
      <c r="S29" s="8">
        <v>22</v>
      </c>
    </row>
    <row r="30" spans="1:22" x14ac:dyDescent="0.15">
      <c r="A30" s="5">
        <v>43979</v>
      </c>
      <c r="B30" s="5" t="s">
        <v>7</v>
      </c>
      <c r="C30" s="18"/>
      <c r="D30" s="8"/>
      <c r="F30" s="17"/>
      <c r="G30" s="8"/>
      <c r="I30" s="17"/>
      <c r="J30" s="8"/>
      <c r="L30" s="17"/>
      <c r="M30" s="8"/>
      <c r="O30" s="17"/>
      <c r="P30" s="8"/>
      <c r="R30" s="17" t="s">
        <v>126</v>
      </c>
      <c r="S30" s="8">
        <v>12</v>
      </c>
    </row>
    <row r="31" spans="1:22" x14ac:dyDescent="0.15">
      <c r="A31" s="5">
        <v>43980</v>
      </c>
      <c r="B31" s="5" t="s">
        <v>8</v>
      </c>
      <c r="C31" s="18"/>
      <c r="D31" s="8"/>
      <c r="F31" s="18"/>
      <c r="G31" s="8"/>
      <c r="I31" s="17"/>
      <c r="J31" s="8"/>
      <c r="L31" s="17"/>
      <c r="M31" s="8"/>
      <c r="O31" s="17"/>
      <c r="P31" s="8"/>
      <c r="R31" s="17"/>
      <c r="S31" s="8"/>
    </row>
    <row r="32" spans="1:22" x14ac:dyDescent="0.15">
      <c r="A32" s="5">
        <v>43981</v>
      </c>
      <c r="B32" s="5" t="s">
        <v>9</v>
      </c>
      <c r="C32" s="18"/>
      <c r="D32" s="8"/>
      <c r="F32" s="18"/>
      <c r="G32" s="8"/>
      <c r="I32" s="17"/>
      <c r="J32" s="8"/>
      <c r="L32" s="17"/>
      <c r="M32" s="8"/>
      <c r="O32" s="17"/>
      <c r="P32" s="8"/>
      <c r="R32" s="17"/>
      <c r="S32" s="8"/>
    </row>
    <row r="33" spans="1:2" x14ac:dyDescent="0.15">
      <c r="A33" s="5">
        <v>43982</v>
      </c>
      <c r="B33" s="5" t="s">
        <v>10</v>
      </c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4" workbookViewId="0">
      <selection activeCell="R36" sqref="R36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22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22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SUM(G:G)</f>
        <v>83</v>
      </c>
      <c r="G2" s="43"/>
      <c r="H2" s="14"/>
      <c r="I2" s="42">
        <f>SUM(J:J)</f>
        <v>-144.5</v>
      </c>
      <c r="J2" s="43"/>
      <c r="K2" s="14"/>
      <c r="L2" s="42">
        <f>SUM(M:M)</f>
        <v>47</v>
      </c>
      <c r="M2" s="43"/>
      <c r="O2" s="42">
        <f>SUM(P:P)</f>
        <v>0</v>
      </c>
      <c r="P2" s="43"/>
      <c r="R2" s="42">
        <f>SUM(S:S)</f>
        <v>-91.9</v>
      </c>
      <c r="S2" s="43"/>
    </row>
    <row r="3" spans="1:22" x14ac:dyDescent="0.15">
      <c r="A3" s="5">
        <v>43922</v>
      </c>
      <c r="B3" s="5" t="s">
        <v>274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22" x14ac:dyDescent="0.15">
      <c r="A4" s="5">
        <v>43923</v>
      </c>
      <c r="B4" s="5" t="s">
        <v>7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22" x14ac:dyDescent="0.15">
      <c r="A5" s="5">
        <v>43924</v>
      </c>
      <c r="B5" s="5" t="s">
        <v>8</v>
      </c>
      <c r="C5" s="18"/>
      <c r="D5" s="8"/>
      <c r="F5" s="17" t="s">
        <v>276</v>
      </c>
      <c r="G5" s="8">
        <v>83</v>
      </c>
      <c r="I5" s="17"/>
      <c r="J5" s="8"/>
      <c r="L5" s="17"/>
      <c r="M5" s="8"/>
      <c r="O5" s="17"/>
      <c r="P5" s="8"/>
      <c r="R5" s="17" t="s">
        <v>277</v>
      </c>
      <c r="S5" s="8">
        <v>57.7</v>
      </c>
    </row>
    <row r="6" spans="1:22" x14ac:dyDescent="0.15">
      <c r="A6" s="5">
        <v>43925</v>
      </c>
      <c r="B6" s="5" t="s">
        <v>9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/>
      <c r="S6" s="8"/>
    </row>
    <row r="7" spans="1:22" x14ac:dyDescent="0.15">
      <c r="A7" s="5">
        <v>43926</v>
      </c>
      <c r="B7" s="5" t="s">
        <v>10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22" x14ac:dyDescent="0.15">
      <c r="A8" s="5">
        <v>43927</v>
      </c>
      <c r="B8" s="5" t="s">
        <v>5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22" x14ac:dyDescent="0.15">
      <c r="A9" s="5">
        <v>43928</v>
      </c>
      <c r="B9" s="5" t="s">
        <v>4</v>
      </c>
      <c r="C9" s="18"/>
      <c r="D9" s="8"/>
      <c r="F9" s="17"/>
      <c r="G9" s="8"/>
      <c r="I9" s="17" t="s">
        <v>278</v>
      </c>
      <c r="J9" s="8">
        <v>18.5</v>
      </c>
      <c r="L9" s="17"/>
      <c r="M9" s="8"/>
      <c r="O9" s="17"/>
      <c r="P9" s="8"/>
      <c r="R9" s="17"/>
      <c r="S9" s="8"/>
    </row>
    <row r="10" spans="1:22" x14ac:dyDescent="0.15">
      <c r="A10" s="5">
        <v>43929</v>
      </c>
      <c r="B10" s="5" t="s">
        <v>6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 t="s">
        <v>278</v>
      </c>
      <c r="S10" s="8">
        <v>13</v>
      </c>
    </row>
    <row r="11" spans="1:22" x14ac:dyDescent="0.15">
      <c r="A11" s="5">
        <v>43930</v>
      </c>
      <c r="B11" s="5" t="s">
        <v>7</v>
      </c>
      <c r="C11" s="18"/>
      <c r="D11" s="8"/>
      <c r="F11" s="17"/>
      <c r="G11" s="8"/>
      <c r="I11" s="18" t="s">
        <v>279</v>
      </c>
      <c r="J11" s="8">
        <v>-170</v>
      </c>
      <c r="L11" s="17" t="s">
        <v>280</v>
      </c>
      <c r="M11" s="8">
        <v>7</v>
      </c>
      <c r="O11" s="17"/>
      <c r="P11" s="8"/>
      <c r="R11" s="17" t="s">
        <v>278</v>
      </c>
      <c r="S11" s="8">
        <v>7.5</v>
      </c>
    </row>
    <row r="12" spans="1:22" x14ac:dyDescent="0.15">
      <c r="A12" s="5">
        <v>43931</v>
      </c>
      <c r="B12" s="5" t="s">
        <v>8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22" x14ac:dyDescent="0.15">
      <c r="A13" s="5">
        <v>43932</v>
      </c>
      <c r="B13" s="5" t="s">
        <v>9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22" x14ac:dyDescent="0.15">
      <c r="A14" s="5">
        <v>43933</v>
      </c>
      <c r="B14" s="5" t="s">
        <v>10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/>
      <c r="S14" s="8"/>
    </row>
    <row r="15" spans="1:22" x14ac:dyDescent="0.15">
      <c r="A15" s="5">
        <v>43934</v>
      </c>
      <c r="B15" s="5" t="s">
        <v>5</v>
      </c>
      <c r="C15" s="18"/>
      <c r="D15" s="8"/>
      <c r="F15" s="17"/>
      <c r="G15" s="8"/>
      <c r="I15" s="17"/>
      <c r="J15" s="8"/>
      <c r="L15" s="17"/>
      <c r="M15" s="8"/>
      <c r="O15" s="17"/>
      <c r="P15" s="8"/>
      <c r="R15" s="17"/>
      <c r="S15" s="8"/>
    </row>
    <row r="16" spans="1:22" x14ac:dyDescent="0.15">
      <c r="A16" s="5">
        <v>43935</v>
      </c>
      <c r="B16" s="5" t="s">
        <v>4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40" t="s">
        <v>281</v>
      </c>
      <c r="S16" s="33">
        <v>-60</v>
      </c>
      <c r="T16" s="41"/>
      <c r="U16" s="41"/>
      <c r="V16" s="41"/>
    </row>
    <row r="17" spans="1:22" x14ac:dyDescent="0.15">
      <c r="A17" s="5"/>
      <c r="B17" s="5"/>
      <c r="C17" s="18"/>
      <c r="D17" s="8"/>
      <c r="F17" s="17"/>
      <c r="G17" s="8"/>
      <c r="I17" s="18"/>
      <c r="J17" s="8"/>
      <c r="L17" s="17"/>
      <c r="M17" s="8"/>
      <c r="O17" s="17"/>
      <c r="P17" s="8"/>
      <c r="R17" s="40" t="s">
        <v>281</v>
      </c>
      <c r="S17" s="33">
        <v>-160</v>
      </c>
      <c r="T17" s="41"/>
      <c r="U17" s="41"/>
      <c r="V17" s="41"/>
    </row>
    <row r="18" spans="1:22" x14ac:dyDescent="0.15">
      <c r="A18" s="5">
        <v>43936</v>
      </c>
      <c r="B18" s="5" t="s">
        <v>6</v>
      </c>
      <c r="C18" s="18"/>
      <c r="D18" s="8"/>
      <c r="F18" s="17"/>
      <c r="G18" s="8"/>
      <c r="I18" s="18"/>
      <c r="J18" s="8"/>
      <c r="L18" s="17" t="s">
        <v>282</v>
      </c>
      <c r="M18" s="8">
        <v>40</v>
      </c>
      <c r="O18" s="17"/>
      <c r="P18" s="8"/>
      <c r="R18" s="40"/>
      <c r="S18" s="33"/>
      <c r="T18" s="41"/>
      <c r="U18" s="41"/>
      <c r="V18" s="41"/>
    </row>
    <row r="19" spans="1:22" x14ac:dyDescent="0.15">
      <c r="A19" s="5">
        <v>43937</v>
      </c>
      <c r="B19" s="5" t="s">
        <v>7</v>
      </c>
      <c r="C19" s="18"/>
      <c r="D19" s="8"/>
      <c r="F19" s="17"/>
      <c r="G19" s="8"/>
      <c r="I19" s="17" t="s">
        <v>280</v>
      </c>
      <c r="J19" s="8">
        <v>7</v>
      </c>
      <c r="L19" s="17"/>
      <c r="M19" s="8"/>
      <c r="O19" s="17"/>
      <c r="P19" s="8"/>
      <c r="R19" s="17" t="s">
        <v>280</v>
      </c>
      <c r="S19" s="8">
        <v>7</v>
      </c>
      <c r="T19" s="41"/>
      <c r="U19" s="41"/>
      <c r="V19" s="41"/>
    </row>
    <row r="20" spans="1:22" x14ac:dyDescent="0.15">
      <c r="A20" s="5">
        <v>43938</v>
      </c>
      <c r="B20" s="5" t="s">
        <v>8</v>
      </c>
      <c r="C20" s="18"/>
      <c r="D20" s="8"/>
      <c r="F20" s="17"/>
      <c r="G20" s="8"/>
      <c r="I20" s="18"/>
      <c r="J20" s="8"/>
      <c r="L20" s="17"/>
      <c r="M20" s="8"/>
      <c r="O20" s="17"/>
      <c r="P20" s="8"/>
      <c r="R20" s="40"/>
      <c r="S20" s="33"/>
      <c r="T20" s="41"/>
      <c r="U20" s="41"/>
      <c r="V20" s="41"/>
    </row>
    <row r="21" spans="1:22" x14ac:dyDescent="0.15">
      <c r="A21" s="5">
        <v>43939</v>
      </c>
      <c r="B21" s="5" t="s">
        <v>9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40"/>
      <c r="S21" s="33"/>
      <c r="T21" s="41"/>
      <c r="U21" s="41"/>
      <c r="V21" s="41"/>
    </row>
    <row r="22" spans="1:22" x14ac:dyDescent="0.15">
      <c r="A22" s="5">
        <v>43940</v>
      </c>
      <c r="B22" s="5" t="s">
        <v>10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40"/>
      <c r="S22" s="33"/>
      <c r="T22" s="41"/>
      <c r="U22" s="41"/>
      <c r="V22" s="41"/>
    </row>
    <row r="23" spans="1:22" x14ac:dyDescent="0.15">
      <c r="A23" s="5">
        <v>43941</v>
      </c>
      <c r="B23" s="5" t="s">
        <v>5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 t="s">
        <v>126</v>
      </c>
      <c r="S23" s="8">
        <v>7</v>
      </c>
      <c r="T23" s="41"/>
      <c r="U23" s="41"/>
      <c r="V23" s="41"/>
    </row>
    <row r="24" spans="1:22" x14ac:dyDescent="0.15">
      <c r="A24" s="5">
        <v>43942</v>
      </c>
      <c r="B24" s="5" t="s">
        <v>4</v>
      </c>
      <c r="C24" s="18"/>
      <c r="D24" s="8"/>
      <c r="F24" s="17"/>
      <c r="G24" s="8"/>
      <c r="I24" s="17"/>
      <c r="J24" s="8"/>
      <c r="L24" s="17"/>
      <c r="M24" s="8"/>
      <c r="O24" s="17"/>
      <c r="P24" s="8"/>
      <c r="R24" s="17" t="s">
        <v>126</v>
      </c>
      <c r="S24" s="33">
        <v>9.9</v>
      </c>
      <c r="T24" s="41"/>
      <c r="U24" s="41"/>
      <c r="V24" s="41"/>
    </row>
    <row r="25" spans="1:22" x14ac:dyDescent="0.15">
      <c r="A25" s="5">
        <v>43943</v>
      </c>
      <c r="B25" s="5" t="s">
        <v>6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40"/>
      <c r="S25" s="33"/>
      <c r="T25" s="41"/>
      <c r="U25" s="41"/>
      <c r="V25" s="41"/>
    </row>
    <row r="26" spans="1:22" x14ac:dyDescent="0.15">
      <c r="A26" s="5">
        <v>43944</v>
      </c>
      <c r="B26" s="5" t="s">
        <v>7</v>
      </c>
      <c r="C26" s="18"/>
      <c r="D26" s="8"/>
      <c r="F26" s="17"/>
      <c r="G26" s="8"/>
      <c r="I26" s="18"/>
      <c r="J26" s="8"/>
      <c r="L26" s="17"/>
      <c r="M26" s="8"/>
      <c r="O26" s="17"/>
      <c r="P26" s="8"/>
      <c r="R26" s="17" t="s">
        <v>126</v>
      </c>
      <c r="S26" s="33">
        <v>14</v>
      </c>
      <c r="T26" s="41"/>
      <c r="U26" s="41"/>
      <c r="V26" s="41"/>
    </row>
    <row r="27" spans="1:22" x14ac:dyDescent="0.15">
      <c r="A27" s="5">
        <v>43945</v>
      </c>
      <c r="B27" s="5" t="s">
        <v>8</v>
      </c>
      <c r="C27" s="18"/>
      <c r="D27" s="8"/>
      <c r="F27" s="17"/>
      <c r="G27" s="8"/>
      <c r="I27" s="17"/>
      <c r="J27" s="8"/>
      <c r="L27" s="17"/>
      <c r="M27" s="8"/>
      <c r="O27" s="17"/>
      <c r="P27" s="8"/>
      <c r="R27" s="17" t="s">
        <v>126</v>
      </c>
      <c r="S27" s="33">
        <v>6</v>
      </c>
      <c r="T27" s="41"/>
      <c r="U27" s="41"/>
      <c r="V27" s="41"/>
    </row>
    <row r="28" spans="1:22" x14ac:dyDescent="0.15">
      <c r="A28" s="5">
        <v>43946</v>
      </c>
      <c r="B28" s="5" t="s">
        <v>9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40"/>
      <c r="S28" s="33"/>
      <c r="T28" s="41"/>
      <c r="U28" s="41"/>
      <c r="V28" s="41"/>
    </row>
    <row r="29" spans="1:22" x14ac:dyDescent="0.15">
      <c r="A29" s="5">
        <v>43947</v>
      </c>
      <c r="B29" s="5" t="s">
        <v>10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/>
      <c r="S29" s="8"/>
    </row>
    <row r="30" spans="1:22" x14ac:dyDescent="0.15">
      <c r="A30" s="5">
        <v>43948</v>
      </c>
      <c r="B30" s="5" t="s">
        <v>5</v>
      </c>
      <c r="C30" s="18"/>
      <c r="D30" s="8"/>
      <c r="F30" s="17"/>
      <c r="G30" s="8"/>
      <c r="I30" s="17"/>
      <c r="J30" s="8"/>
      <c r="L30" s="17"/>
      <c r="M30" s="8"/>
      <c r="O30" s="17"/>
      <c r="P30" s="8"/>
      <c r="R30" s="17"/>
      <c r="S30" s="8"/>
    </row>
    <row r="31" spans="1:22" x14ac:dyDescent="0.15">
      <c r="A31" s="5">
        <v>43949</v>
      </c>
      <c r="B31" s="5" t="s">
        <v>4</v>
      </c>
      <c r="C31" s="18"/>
      <c r="D31" s="8"/>
      <c r="F31" s="17"/>
      <c r="G31" s="8"/>
      <c r="I31" s="17"/>
      <c r="J31" s="8"/>
      <c r="L31" s="17"/>
      <c r="M31" s="8"/>
      <c r="O31" s="17"/>
      <c r="P31" s="8"/>
      <c r="R31" s="17"/>
      <c r="S31" s="8"/>
    </row>
    <row r="32" spans="1:22" x14ac:dyDescent="0.15">
      <c r="A32" s="5">
        <v>43950</v>
      </c>
      <c r="B32" s="5" t="s">
        <v>6</v>
      </c>
      <c r="C32" s="18"/>
      <c r="D32" s="8"/>
      <c r="F32" s="18"/>
      <c r="G32" s="8"/>
      <c r="I32" s="17"/>
      <c r="J32" s="8"/>
      <c r="L32" s="17"/>
      <c r="M32" s="8"/>
      <c r="O32" s="17"/>
      <c r="P32" s="8"/>
      <c r="R32" s="17"/>
      <c r="S32" s="8"/>
    </row>
    <row r="33" spans="1:19" x14ac:dyDescent="0.15">
      <c r="A33" s="5">
        <v>43951</v>
      </c>
      <c r="B33" s="5" t="s">
        <v>7</v>
      </c>
      <c r="C33" s="18"/>
      <c r="D33" s="8"/>
      <c r="F33" s="18"/>
      <c r="G33" s="8"/>
      <c r="I33" s="17"/>
      <c r="J33" s="8"/>
      <c r="L33" s="17"/>
      <c r="M33" s="8"/>
      <c r="O33" s="17"/>
      <c r="P33" s="8"/>
      <c r="R33" s="17" t="s">
        <v>280</v>
      </c>
      <c r="S33" s="8">
        <v>6</v>
      </c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F34" sqref="F3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SUM(G:G)</f>
        <v>0</v>
      </c>
      <c r="G2" s="43"/>
      <c r="H2" s="14"/>
      <c r="I2" s="42">
        <f>SUM(J:J)</f>
        <v>43</v>
      </c>
      <c r="J2" s="43"/>
      <c r="K2" s="14"/>
      <c r="L2" s="42">
        <f>SUM(M:M)</f>
        <v>35</v>
      </c>
      <c r="M2" s="43"/>
      <c r="O2" s="42">
        <f>SUM(P:P)</f>
        <v>-187</v>
      </c>
      <c r="P2" s="43"/>
      <c r="R2" s="42">
        <f>SUM(S:S)</f>
        <v>123</v>
      </c>
      <c r="S2" s="43"/>
    </row>
    <row r="3" spans="1:19" x14ac:dyDescent="0.15">
      <c r="A3" s="5">
        <v>43891</v>
      </c>
      <c r="B3" s="5" t="s">
        <v>10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43892</v>
      </c>
      <c r="B4" s="5" t="s">
        <v>5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 t="s">
        <v>192</v>
      </c>
      <c r="S4" s="8">
        <v>7</v>
      </c>
    </row>
    <row r="5" spans="1:19" x14ac:dyDescent="0.15">
      <c r="A5" s="5">
        <v>43893</v>
      </c>
      <c r="B5" s="5" t="s">
        <v>4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 t="s">
        <v>126</v>
      </c>
      <c r="S5" s="8">
        <v>10</v>
      </c>
    </row>
    <row r="6" spans="1:19" x14ac:dyDescent="0.15">
      <c r="A6" s="5">
        <v>43894</v>
      </c>
      <c r="B6" s="5" t="s">
        <v>6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/>
      <c r="S6" s="8"/>
    </row>
    <row r="7" spans="1:19" x14ac:dyDescent="0.15">
      <c r="A7" s="5">
        <v>43895</v>
      </c>
      <c r="B7" s="5" t="s">
        <v>7</v>
      </c>
      <c r="C7" s="18"/>
      <c r="D7" s="8"/>
      <c r="F7" s="17"/>
      <c r="G7" s="8"/>
      <c r="I7" s="17" t="s">
        <v>126</v>
      </c>
      <c r="J7" s="8">
        <v>6</v>
      </c>
      <c r="L7" s="17"/>
      <c r="M7" s="8"/>
      <c r="O7" s="17" t="s">
        <v>126</v>
      </c>
      <c r="P7" s="8">
        <v>-14</v>
      </c>
      <c r="R7" s="17"/>
      <c r="S7" s="8"/>
    </row>
    <row r="8" spans="1:19" x14ac:dyDescent="0.15">
      <c r="A8" s="5">
        <v>43896</v>
      </c>
      <c r="B8" s="5" t="s">
        <v>8</v>
      </c>
      <c r="C8" s="18"/>
      <c r="D8" s="8"/>
      <c r="F8" s="17"/>
      <c r="G8" s="8"/>
      <c r="I8" s="17"/>
      <c r="J8" s="8"/>
      <c r="L8" s="17"/>
      <c r="M8" s="8"/>
      <c r="O8" s="17" t="s">
        <v>126</v>
      </c>
      <c r="P8" s="8">
        <v>-23</v>
      </c>
      <c r="R8" s="17" t="s">
        <v>126</v>
      </c>
      <c r="S8" s="8">
        <v>10</v>
      </c>
    </row>
    <row r="9" spans="1:19" x14ac:dyDescent="0.15">
      <c r="A9" s="5">
        <v>43897</v>
      </c>
      <c r="B9" s="5" t="s">
        <v>9</v>
      </c>
      <c r="C9" s="18"/>
      <c r="D9" s="8"/>
      <c r="F9" s="17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43898</v>
      </c>
      <c r="B10" s="5" t="s">
        <v>10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43899</v>
      </c>
      <c r="B11" s="5" t="s">
        <v>5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 t="s">
        <v>126</v>
      </c>
      <c r="S11" s="8">
        <v>13</v>
      </c>
    </row>
    <row r="12" spans="1:19" x14ac:dyDescent="0.15">
      <c r="A12" s="5">
        <v>43900</v>
      </c>
      <c r="B12" s="5" t="s">
        <v>4</v>
      </c>
      <c r="C12" s="18"/>
      <c r="D12" s="8"/>
      <c r="F12" s="17"/>
      <c r="G12" s="8"/>
      <c r="I12" s="18"/>
      <c r="J12" s="8"/>
      <c r="L12" s="17" t="s">
        <v>126</v>
      </c>
      <c r="M12" s="8">
        <v>7</v>
      </c>
      <c r="O12" s="17"/>
      <c r="P12" s="8"/>
      <c r="R12" s="17" t="s">
        <v>126</v>
      </c>
      <c r="S12" s="8">
        <v>13</v>
      </c>
    </row>
    <row r="13" spans="1:19" x14ac:dyDescent="0.15">
      <c r="A13" s="5">
        <v>43901</v>
      </c>
      <c r="B13" s="5" t="s">
        <v>6</v>
      </c>
      <c r="C13" s="18"/>
      <c r="D13" s="8"/>
      <c r="F13" s="17"/>
      <c r="G13" s="8"/>
      <c r="I13" s="18"/>
      <c r="J13" s="8"/>
      <c r="L13" s="17" t="s">
        <v>126</v>
      </c>
      <c r="M13" s="8">
        <v>7</v>
      </c>
      <c r="O13" s="17"/>
      <c r="P13" s="8"/>
      <c r="R13" s="17"/>
      <c r="S13" s="8"/>
    </row>
    <row r="14" spans="1:19" x14ac:dyDescent="0.15">
      <c r="A14" s="5">
        <v>43902</v>
      </c>
      <c r="B14" s="5" t="s">
        <v>7</v>
      </c>
      <c r="C14" s="18"/>
      <c r="D14" s="8"/>
      <c r="F14" s="17"/>
      <c r="G14" s="8"/>
      <c r="I14" s="18"/>
      <c r="J14" s="8"/>
      <c r="L14" s="17" t="s">
        <v>126</v>
      </c>
      <c r="M14" s="8">
        <v>7</v>
      </c>
      <c r="O14" s="17" t="s">
        <v>126</v>
      </c>
      <c r="P14" s="8">
        <v>6.5</v>
      </c>
      <c r="R14" s="17"/>
      <c r="S14" s="8"/>
    </row>
    <row r="15" spans="1:19" x14ac:dyDescent="0.15">
      <c r="A15" s="5">
        <v>43903</v>
      </c>
      <c r="B15" s="5" t="s">
        <v>8</v>
      </c>
      <c r="C15" s="18"/>
      <c r="D15" s="8"/>
      <c r="F15" s="17"/>
      <c r="G15" s="8"/>
      <c r="I15" s="17" t="s">
        <v>126</v>
      </c>
      <c r="J15" s="8">
        <v>22</v>
      </c>
      <c r="L15" s="17" t="s">
        <v>126</v>
      </c>
      <c r="M15" s="8">
        <v>7</v>
      </c>
      <c r="O15" s="17"/>
      <c r="P15" s="8"/>
      <c r="R15" s="17"/>
      <c r="S15" s="8"/>
    </row>
    <row r="16" spans="1:19" x14ac:dyDescent="0.15">
      <c r="A16" s="5">
        <v>43904</v>
      </c>
      <c r="B16" s="5" t="s">
        <v>9</v>
      </c>
      <c r="C16" s="18"/>
      <c r="D16" s="8"/>
      <c r="F16" s="17"/>
      <c r="G16" s="8"/>
      <c r="I16" s="18"/>
      <c r="J16" s="8"/>
      <c r="L16" s="17"/>
      <c r="M16" s="8"/>
      <c r="O16" s="17"/>
      <c r="P16" s="8"/>
      <c r="R16" s="17"/>
      <c r="S16" s="8"/>
    </row>
    <row r="17" spans="1:19" x14ac:dyDescent="0.15">
      <c r="A17" s="5">
        <v>43905</v>
      </c>
      <c r="B17" s="5" t="s">
        <v>10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/>
      <c r="S17" s="8"/>
    </row>
    <row r="18" spans="1:19" x14ac:dyDescent="0.15">
      <c r="A18" s="5">
        <v>43906</v>
      </c>
      <c r="B18" s="5" t="s">
        <v>5</v>
      </c>
      <c r="C18" s="18"/>
      <c r="D18" s="8"/>
      <c r="F18" s="17"/>
      <c r="G18" s="8"/>
      <c r="I18" s="18"/>
      <c r="J18" s="8"/>
      <c r="L18" s="17" t="s">
        <v>126</v>
      </c>
      <c r="M18" s="8">
        <v>7</v>
      </c>
      <c r="O18" s="17"/>
      <c r="P18" s="8"/>
      <c r="R18" s="17" t="s">
        <v>126</v>
      </c>
      <c r="S18" s="8">
        <v>13</v>
      </c>
    </row>
    <row r="19" spans="1:19" x14ac:dyDescent="0.15">
      <c r="A19" s="5">
        <v>43907</v>
      </c>
      <c r="B19" s="5" t="s">
        <v>4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17" t="s">
        <v>126</v>
      </c>
      <c r="S19" s="8">
        <v>13</v>
      </c>
    </row>
    <row r="20" spans="1:19" x14ac:dyDescent="0.15">
      <c r="A20" s="5">
        <v>43908</v>
      </c>
      <c r="B20" s="5" t="s">
        <v>6</v>
      </c>
      <c r="C20" s="18"/>
      <c r="D20" s="8"/>
      <c r="F20" s="17"/>
      <c r="G20" s="8"/>
      <c r="I20" s="17" t="s">
        <v>126</v>
      </c>
      <c r="J20" s="8">
        <v>10</v>
      </c>
      <c r="L20" s="17"/>
      <c r="M20" s="8"/>
      <c r="O20" s="17"/>
      <c r="P20" s="8"/>
      <c r="R20" s="38"/>
      <c r="S20" s="39"/>
    </row>
    <row r="21" spans="1:19" x14ac:dyDescent="0.15">
      <c r="A21" s="5">
        <v>43909</v>
      </c>
      <c r="B21" s="5" t="s">
        <v>7</v>
      </c>
      <c r="C21" s="18"/>
      <c r="D21" s="8"/>
      <c r="F21" s="17"/>
      <c r="G21" s="8"/>
      <c r="I21" s="17"/>
      <c r="J21" s="8"/>
      <c r="L21" s="17"/>
      <c r="M21" s="8"/>
      <c r="O21" s="17" t="s">
        <v>126</v>
      </c>
      <c r="P21" s="8">
        <f>5+6.5</f>
        <v>11.5</v>
      </c>
      <c r="R21" s="17"/>
      <c r="S21" s="8"/>
    </row>
    <row r="22" spans="1:19" x14ac:dyDescent="0.15">
      <c r="A22" s="5">
        <v>43910</v>
      </c>
      <c r="B22" s="5" t="s">
        <v>8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 t="s">
        <v>126</v>
      </c>
      <c r="S22" s="8">
        <v>13</v>
      </c>
    </row>
    <row r="23" spans="1:19" x14ac:dyDescent="0.15">
      <c r="A23" s="5">
        <v>43911</v>
      </c>
      <c r="B23" s="5" t="s">
        <v>9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43912</v>
      </c>
      <c r="B24" s="5" t="s">
        <v>10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17"/>
      <c r="S24" s="8"/>
    </row>
    <row r="25" spans="1:19" x14ac:dyDescent="0.15">
      <c r="A25" s="5">
        <v>43913</v>
      </c>
      <c r="B25" s="5" t="s">
        <v>5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/>
      <c r="S25" s="8"/>
    </row>
    <row r="26" spans="1:19" x14ac:dyDescent="0.15">
      <c r="A26" s="5">
        <v>43914</v>
      </c>
      <c r="B26" s="5" t="s">
        <v>4</v>
      </c>
      <c r="C26" s="18"/>
      <c r="D26" s="8"/>
      <c r="F26" s="17"/>
      <c r="G26" s="8"/>
      <c r="I26" s="17"/>
      <c r="J26" s="8"/>
      <c r="L26" s="17"/>
      <c r="M26" s="8"/>
      <c r="O26" s="17" t="s">
        <v>271</v>
      </c>
      <c r="P26" s="8">
        <v>22</v>
      </c>
      <c r="R26" s="17"/>
      <c r="S26" s="8"/>
    </row>
    <row r="27" spans="1:19" x14ac:dyDescent="0.15">
      <c r="A27" s="5">
        <v>43915</v>
      </c>
      <c r="B27" s="5" t="s">
        <v>6</v>
      </c>
      <c r="C27" s="18"/>
      <c r="D27" s="8"/>
      <c r="F27" s="17"/>
      <c r="G27" s="8"/>
      <c r="I27" s="17"/>
      <c r="J27" s="8"/>
      <c r="L27" s="17"/>
      <c r="M27" s="8"/>
      <c r="O27" s="17"/>
      <c r="P27" s="8"/>
      <c r="R27" s="17" t="s">
        <v>126</v>
      </c>
      <c r="S27" s="8">
        <v>13</v>
      </c>
    </row>
    <row r="28" spans="1:19" x14ac:dyDescent="0.15">
      <c r="A28" s="5">
        <v>43916</v>
      </c>
      <c r="B28" s="5" t="s">
        <v>7</v>
      </c>
      <c r="C28" s="18"/>
      <c r="D28" s="8"/>
      <c r="F28" s="17"/>
      <c r="G28" s="8"/>
      <c r="I28" s="17" t="s">
        <v>272</v>
      </c>
      <c r="J28" s="8">
        <v>5</v>
      </c>
      <c r="L28" s="17"/>
      <c r="M28" s="8"/>
      <c r="O28" s="17" t="s">
        <v>272</v>
      </c>
      <c r="P28" s="8">
        <v>-20</v>
      </c>
      <c r="R28" s="17" t="s">
        <v>272</v>
      </c>
      <c r="S28" s="8">
        <v>5</v>
      </c>
    </row>
    <row r="29" spans="1:19" x14ac:dyDescent="0.15">
      <c r="A29" s="5">
        <v>43917</v>
      </c>
      <c r="B29" s="5" t="s">
        <v>8</v>
      </c>
      <c r="C29" s="18"/>
      <c r="D29" s="8"/>
      <c r="F29" s="17"/>
      <c r="G29" s="8"/>
      <c r="I29" s="17"/>
      <c r="J29" s="8"/>
      <c r="L29" s="17"/>
      <c r="M29" s="8"/>
      <c r="O29" s="17" t="s">
        <v>272</v>
      </c>
      <c r="P29" s="8">
        <v>-10</v>
      </c>
      <c r="R29" s="17" t="s">
        <v>272</v>
      </c>
      <c r="S29" s="8">
        <v>13</v>
      </c>
    </row>
    <row r="30" spans="1:19" x14ac:dyDescent="0.15">
      <c r="A30" s="5">
        <v>43918</v>
      </c>
      <c r="B30" s="5" t="s">
        <v>9</v>
      </c>
      <c r="C30" s="18"/>
      <c r="D30" s="8"/>
      <c r="F30" s="17"/>
      <c r="G30" s="8"/>
      <c r="I30" s="17"/>
      <c r="J30" s="8"/>
      <c r="L30" s="17"/>
      <c r="M30" s="8"/>
      <c r="O30" s="17"/>
      <c r="P30" s="8"/>
      <c r="R30" s="17"/>
      <c r="S30" s="8"/>
    </row>
    <row r="31" spans="1:19" x14ac:dyDescent="0.15">
      <c r="A31" s="5">
        <v>43919</v>
      </c>
      <c r="B31" s="5" t="s">
        <v>10</v>
      </c>
      <c r="C31" s="18"/>
      <c r="D31" s="8"/>
      <c r="F31" s="18"/>
      <c r="G31" s="8"/>
      <c r="I31" s="17"/>
      <c r="J31" s="8"/>
      <c r="L31" s="17"/>
      <c r="M31" s="8"/>
      <c r="O31" s="17"/>
      <c r="P31" s="8"/>
      <c r="R31" s="17"/>
      <c r="S31" s="8"/>
    </row>
    <row r="32" spans="1:19" x14ac:dyDescent="0.15">
      <c r="A32" s="5">
        <v>43920</v>
      </c>
      <c r="B32" s="5" t="s">
        <v>5</v>
      </c>
      <c r="C32" s="18"/>
      <c r="D32" s="8"/>
      <c r="F32" s="18"/>
      <c r="G32" s="8"/>
      <c r="I32" s="17"/>
      <c r="J32" s="8"/>
      <c r="L32" s="17"/>
      <c r="M32" s="8"/>
      <c r="O32" s="17"/>
      <c r="P32" s="8"/>
      <c r="R32" s="17"/>
      <c r="S32" s="8"/>
    </row>
    <row r="33" spans="1:19" x14ac:dyDescent="0.15">
      <c r="A33" s="5">
        <v>43921</v>
      </c>
      <c r="B33" s="5" t="s">
        <v>4</v>
      </c>
      <c r="C33" s="18"/>
      <c r="D33" s="8"/>
      <c r="F33" s="18"/>
      <c r="G33" s="8"/>
      <c r="I33" s="18"/>
      <c r="J33" s="8"/>
      <c r="L33" s="18"/>
      <c r="M33" s="8"/>
      <c r="O33" s="17" t="s">
        <v>126</v>
      </c>
      <c r="P33" s="8">
        <v>-5</v>
      </c>
      <c r="R33" s="17"/>
      <c r="S33" s="8"/>
    </row>
    <row r="34" spans="1:19" x14ac:dyDescent="0.15">
      <c r="A34" s="5"/>
      <c r="B34" s="5"/>
      <c r="C34" s="18"/>
      <c r="D34" s="8"/>
      <c r="F34" s="18"/>
      <c r="G34" s="8"/>
      <c r="I34" s="18"/>
      <c r="J34" s="8"/>
      <c r="L34" s="18"/>
      <c r="M34" s="8"/>
      <c r="O34" s="17" t="s">
        <v>273</v>
      </c>
      <c r="P34" s="8">
        <v>-155</v>
      </c>
      <c r="R34" s="17"/>
      <c r="S34" s="8"/>
    </row>
    <row r="35" spans="1:19" x14ac:dyDescent="0.15">
      <c r="A35" s="5"/>
      <c r="B35" s="5"/>
      <c r="C35" s="18"/>
      <c r="D35" s="8"/>
      <c r="F35" s="17"/>
      <c r="G35" s="8"/>
      <c r="I35" s="17"/>
      <c r="J35" s="8"/>
      <c r="L35" s="17"/>
      <c r="M35" s="8"/>
      <c r="O35" s="17"/>
      <c r="P35" s="8"/>
      <c r="R35" s="17"/>
      <c r="S35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R33" sqref="R33:S33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SUM(D3:D34)</f>
        <v>0</v>
      </c>
      <c r="D2" s="43"/>
      <c r="E2" s="3"/>
      <c r="F2" s="42">
        <f>SUM(G:G)</f>
        <v>-39</v>
      </c>
      <c r="G2" s="43"/>
      <c r="H2" s="14"/>
      <c r="I2" s="42">
        <f>SUM(J:J)</f>
        <v>88</v>
      </c>
      <c r="J2" s="43"/>
      <c r="K2" s="14"/>
      <c r="L2" s="42">
        <f>SUM(M:M)</f>
        <v>170</v>
      </c>
      <c r="M2" s="43"/>
      <c r="O2" s="42">
        <f>SUM(P:P)</f>
        <v>52</v>
      </c>
      <c r="P2" s="43"/>
      <c r="R2" s="42">
        <f>SUM(S:S)</f>
        <v>-173</v>
      </c>
      <c r="S2" s="43"/>
    </row>
    <row r="3" spans="1:19" x14ac:dyDescent="0.15">
      <c r="A3" s="5">
        <v>43862</v>
      </c>
      <c r="B3" s="5" t="s">
        <v>9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43863</v>
      </c>
      <c r="B4" s="5" t="s">
        <v>10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43864</v>
      </c>
      <c r="B5" s="5" t="s">
        <v>5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/>
      <c r="S5" s="8"/>
    </row>
    <row r="6" spans="1:19" x14ac:dyDescent="0.15">
      <c r="A6" s="5">
        <v>43865</v>
      </c>
      <c r="B6" s="5" t="s">
        <v>4</v>
      </c>
      <c r="C6" s="18"/>
      <c r="D6" s="8"/>
      <c r="F6" s="17"/>
      <c r="G6" s="8"/>
      <c r="I6" s="17"/>
      <c r="J6" s="8"/>
      <c r="L6" s="17"/>
      <c r="M6" s="8"/>
      <c r="O6" s="17"/>
      <c r="P6" s="8"/>
      <c r="R6" s="17"/>
      <c r="S6" s="8"/>
    </row>
    <row r="7" spans="1:19" x14ac:dyDescent="0.15">
      <c r="A7" s="5">
        <v>43866</v>
      </c>
      <c r="B7" s="5" t="s">
        <v>6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19" x14ac:dyDescent="0.15">
      <c r="A8" s="5">
        <v>43867</v>
      </c>
      <c r="B8" s="5" t="s">
        <v>7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19" x14ac:dyDescent="0.15">
      <c r="A9" s="5">
        <v>43868</v>
      </c>
      <c r="B9" s="5" t="s">
        <v>8</v>
      </c>
      <c r="C9" s="18"/>
      <c r="D9" s="8"/>
      <c r="F9" s="17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43869</v>
      </c>
      <c r="B10" s="5" t="s">
        <v>9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43870</v>
      </c>
      <c r="B11" s="5" t="s">
        <v>10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43871</v>
      </c>
      <c r="B12" s="5" t="s">
        <v>5</v>
      </c>
      <c r="C12" s="18"/>
      <c r="D12" s="8"/>
      <c r="F12" s="17" t="s">
        <v>254</v>
      </c>
      <c r="G12" s="8">
        <v>90</v>
      </c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/>
      <c r="B13" s="5"/>
      <c r="C13" s="18"/>
      <c r="D13" s="8"/>
      <c r="F13" s="17" t="s">
        <v>265</v>
      </c>
      <c r="G13" s="8">
        <v>29</v>
      </c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43872</v>
      </c>
      <c r="B14" s="5" t="s">
        <v>4</v>
      </c>
      <c r="C14" s="18"/>
      <c r="D14" s="8"/>
      <c r="F14" s="17"/>
      <c r="G14" s="8"/>
      <c r="I14" s="18" t="s">
        <v>266</v>
      </c>
      <c r="J14" s="8">
        <v>8</v>
      </c>
      <c r="L14" s="17"/>
      <c r="M14" s="8"/>
      <c r="O14" s="17" t="s">
        <v>267</v>
      </c>
      <c r="P14" s="8">
        <v>7</v>
      </c>
      <c r="R14" s="17"/>
      <c r="S14" s="8"/>
    </row>
    <row r="15" spans="1:19" x14ac:dyDescent="0.15">
      <c r="A15" s="5">
        <v>43873</v>
      </c>
      <c r="B15" s="5" t="s">
        <v>6</v>
      </c>
      <c r="C15" s="18"/>
      <c r="D15" s="8"/>
      <c r="F15" s="17"/>
      <c r="G15" s="8"/>
      <c r="I15" s="18" t="s">
        <v>266</v>
      </c>
      <c r="J15" s="8">
        <v>10</v>
      </c>
      <c r="L15" s="17" t="s">
        <v>126</v>
      </c>
      <c r="M15" s="8">
        <v>7</v>
      </c>
      <c r="O15" s="17" t="s">
        <v>126</v>
      </c>
      <c r="P15" s="8">
        <v>7</v>
      </c>
      <c r="R15" s="17"/>
      <c r="S15" s="8"/>
    </row>
    <row r="16" spans="1:19" x14ac:dyDescent="0.15">
      <c r="A16" s="5">
        <v>43874</v>
      </c>
      <c r="B16" s="5" t="s">
        <v>7</v>
      </c>
      <c r="C16" s="18"/>
      <c r="D16" s="8"/>
      <c r="F16" s="17"/>
      <c r="G16" s="8"/>
      <c r="I16" s="18" t="s">
        <v>266</v>
      </c>
      <c r="J16" s="8">
        <v>10</v>
      </c>
      <c r="L16" s="17"/>
      <c r="M16" s="8"/>
      <c r="O16" s="17"/>
      <c r="P16" s="8"/>
      <c r="R16" s="17"/>
      <c r="S16" s="8"/>
    </row>
    <row r="17" spans="1:19" x14ac:dyDescent="0.15">
      <c r="A17" s="5">
        <v>43875</v>
      </c>
      <c r="B17" s="5" t="s">
        <v>8</v>
      </c>
      <c r="C17" s="18"/>
      <c r="D17" s="8"/>
      <c r="F17" s="17"/>
      <c r="G17" s="8"/>
      <c r="I17" s="18"/>
      <c r="J17" s="8"/>
      <c r="L17" s="17"/>
      <c r="M17" s="8"/>
      <c r="O17" s="17"/>
      <c r="P17" s="8"/>
      <c r="R17" s="17"/>
      <c r="S17" s="8"/>
    </row>
    <row r="18" spans="1:19" x14ac:dyDescent="0.15">
      <c r="A18" s="5">
        <v>43876</v>
      </c>
      <c r="B18" s="5" t="s">
        <v>9</v>
      </c>
      <c r="C18" s="18"/>
      <c r="D18" s="8"/>
      <c r="F18" s="17"/>
      <c r="G18" s="8"/>
      <c r="I18" s="18"/>
      <c r="J18" s="8"/>
      <c r="L18" s="17"/>
      <c r="M18" s="8"/>
      <c r="O18" s="17"/>
      <c r="P18" s="8"/>
      <c r="R18" s="17"/>
      <c r="S18" s="8"/>
    </row>
    <row r="19" spans="1:19" x14ac:dyDescent="0.15">
      <c r="A19" s="5">
        <v>43877</v>
      </c>
      <c r="B19" s="5" t="s">
        <v>10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17"/>
      <c r="S19" s="8"/>
    </row>
    <row r="20" spans="1:19" x14ac:dyDescent="0.15">
      <c r="A20" s="5">
        <v>43878</v>
      </c>
      <c r="B20" s="5" t="s">
        <v>5</v>
      </c>
      <c r="C20" s="18"/>
      <c r="D20" s="8"/>
      <c r="F20" s="17"/>
      <c r="G20" s="8"/>
      <c r="I20" s="18" t="s">
        <v>268</v>
      </c>
      <c r="J20" s="8">
        <v>21</v>
      </c>
      <c r="L20" s="17"/>
      <c r="M20" s="8"/>
      <c r="O20" s="17" t="s">
        <v>126</v>
      </c>
      <c r="P20" s="8">
        <v>7</v>
      </c>
      <c r="R20" s="17"/>
      <c r="S20" s="8"/>
    </row>
    <row r="21" spans="1:19" x14ac:dyDescent="0.15">
      <c r="A21" s="5">
        <v>43879</v>
      </c>
      <c r="B21" s="5" t="s">
        <v>4</v>
      </c>
      <c r="C21" s="18"/>
      <c r="D21" s="8"/>
      <c r="F21" s="17"/>
      <c r="G21" s="8"/>
      <c r="I21" s="17"/>
      <c r="J21" s="8"/>
      <c r="L21" s="17"/>
      <c r="M21" s="8"/>
      <c r="O21" s="17"/>
      <c r="P21" s="8"/>
      <c r="R21" s="17" t="s">
        <v>126</v>
      </c>
      <c r="S21" s="8">
        <v>7</v>
      </c>
    </row>
    <row r="22" spans="1:19" x14ac:dyDescent="0.15">
      <c r="A22" s="5">
        <v>43880</v>
      </c>
      <c r="B22" s="5" t="s">
        <v>6</v>
      </c>
      <c r="C22" s="18"/>
      <c r="D22" s="8"/>
      <c r="F22" s="17"/>
      <c r="G22" s="8"/>
      <c r="I22" s="17"/>
      <c r="J22" s="8"/>
      <c r="L22" s="17" t="s">
        <v>126</v>
      </c>
      <c r="M22" s="8">
        <v>7</v>
      </c>
      <c r="O22" s="17"/>
      <c r="P22" s="8"/>
      <c r="R22" s="17" t="s">
        <v>126</v>
      </c>
      <c r="S22" s="8">
        <v>7</v>
      </c>
    </row>
    <row r="23" spans="1:19" x14ac:dyDescent="0.15">
      <c r="A23" s="5">
        <v>43881</v>
      </c>
      <c r="B23" s="5" t="s">
        <v>7</v>
      </c>
      <c r="C23" s="18"/>
      <c r="D23" s="8"/>
      <c r="F23" s="17"/>
      <c r="G23" s="8"/>
      <c r="I23" s="17" t="s">
        <v>126</v>
      </c>
      <c r="J23" s="8">
        <v>11</v>
      </c>
      <c r="L23" s="17"/>
      <c r="M23" s="8"/>
      <c r="O23" s="17"/>
      <c r="P23" s="8"/>
      <c r="R23" s="17" t="s">
        <v>126</v>
      </c>
      <c r="S23" s="8">
        <v>7</v>
      </c>
    </row>
    <row r="24" spans="1:19" x14ac:dyDescent="0.15">
      <c r="A24" s="5">
        <v>43882</v>
      </c>
      <c r="B24" s="5" t="s">
        <v>8</v>
      </c>
      <c r="C24" s="18"/>
      <c r="D24" s="8"/>
      <c r="F24" s="17" t="s">
        <v>27</v>
      </c>
      <c r="G24" s="8">
        <v>-158</v>
      </c>
      <c r="I24" s="18"/>
      <c r="J24" s="8"/>
      <c r="L24" s="17" t="s">
        <v>270</v>
      </c>
      <c r="M24" s="8">
        <v>156</v>
      </c>
      <c r="O24" s="17" t="s">
        <v>126</v>
      </c>
      <c r="P24" s="8">
        <v>6</v>
      </c>
      <c r="R24" s="17" t="s">
        <v>126</v>
      </c>
      <c r="S24" s="8">
        <v>7</v>
      </c>
    </row>
    <row r="25" spans="1:19" x14ac:dyDescent="0.15">
      <c r="A25" s="5">
        <v>43883</v>
      </c>
      <c r="B25" s="5" t="s">
        <v>9</v>
      </c>
      <c r="C25" s="18"/>
      <c r="D25" s="8"/>
      <c r="F25" s="17"/>
      <c r="G25" s="8"/>
      <c r="I25" s="18"/>
      <c r="J25" s="8"/>
      <c r="L25" s="17"/>
      <c r="M25" s="8"/>
      <c r="O25" s="17"/>
      <c r="P25" s="8"/>
      <c r="R25" s="17" t="s">
        <v>126</v>
      </c>
      <c r="S25" s="8">
        <v>14</v>
      </c>
    </row>
    <row r="26" spans="1:19" x14ac:dyDescent="0.15">
      <c r="A26" s="5">
        <v>43884</v>
      </c>
      <c r="B26" s="5" t="s">
        <v>10</v>
      </c>
      <c r="C26" s="18"/>
      <c r="D26" s="8"/>
      <c r="F26" s="17"/>
      <c r="G26" s="8"/>
      <c r="I26" s="17"/>
      <c r="J26" s="8"/>
      <c r="L26" s="17"/>
      <c r="M26" s="8"/>
      <c r="O26" s="17"/>
      <c r="P26" s="8"/>
      <c r="R26" s="17"/>
      <c r="S26" s="8"/>
    </row>
    <row r="27" spans="1:19" x14ac:dyDescent="0.15">
      <c r="A27" s="5">
        <v>43885</v>
      </c>
      <c r="B27" s="5" t="s">
        <v>5</v>
      </c>
      <c r="C27" s="18"/>
      <c r="D27" s="8"/>
      <c r="F27" s="17"/>
      <c r="G27" s="8"/>
      <c r="I27" s="17"/>
      <c r="J27" s="8"/>
      <c r="L27" s="17"/>
      <c r="M27" s="8"/>
      <c r="O27" s="17" t="s">
        <v>126</v>
      </c>
      <c r="P27" s="8">
        <v>7</v>
      </c>
      <c r="R27" s="17" t="s">
        <v>126</v>
      </c>
      <c r="S27" s="8">
        <v>7</v>
      </c>
    </row>
    <row r="28" spans="1:19" x14ac:dyDescent="0.15">
      <c r="A28" s="5"/>
      <c r="B28" s="5"/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 t="s">
        <v>269</v>
      </c>
      <c r="S28" s="8">
        <v>-250</v>
      </c>
    </row>
    <row r="29" spans="1:19" x14ac:dyDescent="0.15">
      <c r="A29" s="5">
        <v>43886</v>
      </c>
      <c r="B29" s="5" t="s">
        <v>4</v>
      </c>
      <c r="C29" s="18"/>
      <c r="D29" s="8"/>
      <c r="F29" s="17"/>
      <c r="G29" s="8"/>
      <c r="I29" s="17"/>
      <c r="J29" s="8"/>
      <c r="L29" s="17"/>
      <c r="M29" s="8"/>
      <c r="O29" s="17"/>
      <c r="P29" s="8"/>
      <c r="R29" s="17" t="s">
        <v>126</v>
      </c>
      <c r="S29" s="8">
        <v>7</v>
      </c>
    </row>
    <row r="30" spans="1:19" x14ac:dyDescent="0.15">
      <c r="A30" s="5">
        <v>43887</v>
      </c>
      <c r="B30" s="5" t="s">
        <v>6</v>
      </c>
      <c r="C30" s="18"/>
      <c r="D30" s="8"/>
      <c r="F30" s="17"/>
      <c r="G30" s="8"/>
      <c r="I30" s="17" t="s">
        <v>126</v>
      </c>
      <c r="J30" s="8">
        <v>28</v>
      </c>
      <c r="L30" s="17"/>
      <c r="M30" s="8"/>
      <c r="O30" s="17" t="s">
        <v>126</v>
      </c>
      <c r="P30" s="8">
        <v>6</v>
      </c>
      <c r="R30" s="17" t="s">
        <v>126</v>
      </c>
      <c r="S30" s="8">
        <v>7</v>
      </c>
    </row>
    <row r="31" spans="1:19" x14ac:dyDescent="0.15">
      <c r="A31" s="5">
        <v>43888</v>
      </c>
      <c r="B31" s="5" t="s">
        <v>7</v>
      </c>
      <c r="C31" s="18"/>
      <c r="D31" s="8"/>
      <c r="F31" s="18"/>
      <c r="G31" s="8"/>
      <c r="I31" s="17"/>
      <c r="J31" s="8"/>
      <c r="L31" s="17"/>
      <c r="M31" s="8"/>
      <c r="O31" s="17" t="s">
        <v>126</v>
      </c>
      <c r="P31" s="8">
        <v>7</v>
      </c>
      <c r="R31" s="17" t="s">
        <v>126</v>
      </c>
      <c r="S31" s="8">
        <v>7</v>
      </c>
    </row>
    <row r="32" spans="1:19" x14ac:dyDescent="0.15">
      <c r="A32" s="5"/>
      <c r="B32" s="5"/>
      <c r="C32" s="18"/>
      <c r="D32" s="8"/>
      <c r="F32" s="18"/>
      <c r="G32" s="8"/>
      <c r="I32" s="17"/>
      <c r="J32" s="8"/>
      <c r="L32" s="17"/>
      <c r="M32" s="8"/>
      <c r="O32" s="17" t="s">
        <v>126</v>
      </c>
      <c r="P32" s="8">
        <v>5</v>
      </c>
      <c r="R32" s="17"/>
      <c r="S32" s="8"/>
    </row>
    <row r="33" spans="1:19" x14ac:dyDescent="0.15">
      <c r="A33" s="5">
        <v>43889</v>
      </c>
      <c r="B33" s="5" t="s">
        <v>8</v>
      </c>
      <c r="C33" s="18"/>
      <c r="D33" s="8"/>
      <c r="F33" s="18"/>
      <c r="G33" s="8"/>
      <c r="I33" s="18"/>
      <c r="J33" s="8"/>
      <c r="L33" s="18"/>
      <c r="M33" s="8"/>
      <c r="O33" s="18"/>
      <c r="P33" s="8"/>
      <c r="R33" s="17" t="s">
        <v>126</v>
      </c>
      <c r="S33" s="8">
        <v>7</v>
      </c>
    </row>
    <row r="34" spans="1:19" x14ac:dyDescent="0.15">
      <c r="A34" s="5">
        <v>43890</v>
      </c>
      <c r="B34" s="5" t="s">
        <v>9</v>
      </c>
      <c r="C34" s="18"/>
      <c r="D34" s="8"/>
      <c r="F34" s="17"/>
      <c r="G34" s="8"/>
      <c r="I34" s="17"/>
      <c r="J34" s="8"/>
      <c r="L34" s="17"/>
      <c r="M34" s="8"/>
      <c r="O34" s="17"/>
      <c r="P34" s="8"/>
      <c r="R34" s="17"/>
      <c r="S34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selection activeCell="P17" sqref="O17:P17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SUM(D3:D37)</f>
        <v>0</v>
      </c>
      <c r="D2" s="43"/>
      <c r="E2" s="3"/>
      <c r="F2" s="42">
        <f>SUM(G:G)</f>
        <v>-1174</v>
      </c>
      <c r="G2" s="43"/>
      <c r="H2" s="14"/>
      <c r="I2" s="42">
        <f>SUM(J:J)</f>
        <v>-461</v>
      </c>
      <c r="J2" s="43"/>
      <c r="K2" s="14"/>
      <c r="L2" s="42">
        <f>SUM(M:M)</f>
        <v>-227.5</v>
      </c>
      <c r="M2" s="43"/>
      <c r="O2" s="42">
        <f>SUM(P:P)</f>
        <v>178</v>
      </c>
      <c r="P2" s="43"/>
      <c r="R2" s="42">
        <f>SUM(S:S)</f>
        <v>248.5</v>
      </c>
      <c r="S2" s="43"/>
    </row>
    <row r="3" spans="1:19" x14ac:dyDescent="0.15">
      <c r="A3" s="5">
        <v>43831</v>
      </c>
      <c r="B3" s="5" t="s">
        <v>6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43832</v>
      </c>
      <c r="B4" s="5" t="s">
        <v>7</v>
      </c>
      <c r="C4" s="18"/>
      <c r="D4" s="8"/>
      <c r="F4" s="17"/>
      <c r="G4" s="8"/>
      <c r="I4" s="17" t="s">
        <v>27</v>
      </c>
      <c r="J4" s="8">
        <v>-500</v>
      </c>
      <c r="L4" s="17"/>
      <c r="M4" s="8"/>
      <c r="O4" s="17" t="s">
        <v>258</v>
      </c>
      <c r="P4" s="8">
        <v>-22.5</v>
      </c>
      <c r="R4" s="17" t="s">
        <v>258</v>
      </c>
      <c r="S4" s="8">
        <v>7.5</v>
      </c>
    </row>
    <row r="5" spans="1:19" x14ac:dyDescent="0.15">
      <c r="A5" s="5">
        <v>43833</v>
      </c>
      <c r="B5" s="5" t="s">
        <v>8</v>
      </c>
      <c r="C5" s="18"/>
      <c r="D5" s="8"/>
      <c r="F5" s="17" t="s">
        <v>259</v>
      </c>
      <c r="G5" s="8">
        <v>39</v>
      </c>
      <c r="I5" s="17" t="s">
        <v>259</v>
      </c>
      <c r="J5" s="8">
        <v>39</v>
      </c>
      <c r="L5" s="17"/>
      <c r="M5" s="8"/>
      <c r="O5" s="17" t="s">
        <v>25</v>
      </c>
      <c r="P5" s="8">
        <v>-22.5</v>
      </c>
      <c r="R5" s="17" t="s">
        <v>25</v>
      </c>
      <c r="S5" s="8">
        <v>7.5</v>
      </c>
    </row>
    <row r="6" spans="1:19" x14ac:dyDescent="0.15">
      <c r="A6" s="5"/>
      <c r="B6" s="5"/>
      <c r="C6" s="18"/>
      <c r="D6" s="8"/>
      <c r="F6" s="17"/>
      <c r="G6" s="8"/>
      <c r="I6" s="17"/>
      <c r="J6" s="8"/>
      <c r="L6" s="17"/>
      <c r="M6" s="8"/>
      <c r="O6" s="17"/>
      <c r="P6" s="8"/>
      <c r="R6" s="17" t="s">
        <v>27</v>
      </c>
      <c r="S6" s="8">
        <v>138</v>
      </c>
    </row>
    <row r="7" spans="1:19" x14ac:dyDescent="0.15">
      <c r="A7" s="5">
        <v>43834</v>
      </c>
      <c r="B7" s="5" t="s">
        <v>9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19" x14ac:dyDescent="0.15">
      <c r="A8" s="5">
        <v>43835</v>
      </c>
      <c r="B8" s="5" t="s">
        <v>10</v>
      </c>
      <c r="C8" s="18"/>
      <c r="D8" s="8"/>
      <c r="F8" s="17"/>
      <c r="G8" s="8"/>
      <c r="I8" s="17"/>
      <c r="J8" s="8"/>
      <c r="L8" s="17"/>
      <c r="M8" s="8"/>
      <c r="O8" s="17"/>
      <c r="P8" s="8"/>
      <c r="R8" s="17"/>
      <c r="S8" s="8"/>
    </row>
    <row r="9" spans="1:19" x14ac:dyDescent="0.15">
      <c r="A9" s="5">
        <v>43836</v>
      </c>
      <c r="B9" s="5" t="s">
        <v>5</v>
      </c>
      <c r="C9" s="18"/>
      <c r="D9" s="8"/>
      <c r="F9" s="17"/>
      <c r="G9" s="8"/>
      <c r="I9" s="18"/>
      <c r="J9" s="8"/>
      <c r="L9" s="17"/>
      <c r="M9" s="8"/>
      <c r="O9" s="17" t="s">
        <v>25</v>
      </c>
      <c r="P9" s="8">
        <v>-7.5</v>
      </c>
      <c r="R9" s="17" t="s">
        <v>25</v>
      </c>
      <c r="S9" s="8">
        <v>7.5</v>
      </c>
    </row>
    <row r="10" spans="1:19" x14ac:dyDescent="0.15">
      <c r="A10" s="5">
        <v>43837</v>
      </c>
      <c r="B10" s="5" t="s">
        <v>4</v>
      </c>
      <c r="C10" s="18"/>
      <c r="D10" s="8"/>
      <c r="F10" s="18"/>
      <c r="G10" s="8"/>
      <c r="I10" s="18"/>
      <c r="J10" s="8"/>
      <c r="L10" s="17"/>
      <c r="M10" s="8"/>
      <c r="O10" s="17"/>
      <c r="P10" s="8"/>
      <c r="R10" s="17" t="s">
        <v>15</v>
      </c>
      <c r="S10" s="8">
        <v>7.5</v>
      </c>
    </row>
    <row r="11" spans="1:19" x14ac:dyDescent="0.15">
      <c r="A11" s="5">
        <v>43838</v>
      </c>
      <c r="B11" s="5" t="s">
        <v>6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 t="s">
        <v>15</v>
      </c>
      <c r="S11" s="8">
        <v>8.5</v>
      </c>
    </row>
    <row r="12" spans="1:19" x14ac:dyDescent="0.15">
      <c r="A12" s="5">
        <v>43839</v>
      </c>
      <c r="B12" s="5" t="s">
        <v>7</v>
      </c>
      <c r="C12" s="18"/>
      <c r="D12" s="8"/>
      <c r="F12" s="17" t="s">
        <v>222</v>
      </c>
      <c r="G12" s="8">
        <v>22</v>
      </c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43840</v>
      </c>
      <c r="B13" s="5" t="s">
        <v>8</v>
      </c>
      <c r="C13" s="18"/>
      <c r="D13" s="8"/>
      <c r="F13" s="17"/>
      <c r="G13" s="8"/>
      <c r="I13" s="18"/>
      <c r="J13" s="8"/>
      <c r="L13" s="17"/>
      <c r="M13" s="8"/>
      <c r="O13" s="17" t="s">
        <v>260</v>
      </c>
      <c r="P13" s="8">
        <v>8.5</v>
      </c>
      <c r="R13" s="17" t="s">
        <v>15</v>
      </c>
      <c r="S13" s="8">
        <v>7.5</v>
      </c>
    </row>
    <row r="14" spans="1:19" x14ac:dyDescent="0.15">
      <c r="A14" s="5">
        <v>43841</v>
      </c>
      <c r="B14" s="5" t="s">
        <v>9</v>
      </c>
      <c r="C14" s="18"/>
      <c r="D14" s="8"/>
      <c r="F14" s="17"/>
      <c r="G14" s="8"/>
      <c r="I14" s="18"/>
      <c r="J14" s="8"/>
      <c r="L14" s="17" t="s">
        <v>15</v>
      </c>
      <c r="M14" s="8">
        <v>7.5</v>
      </c>
      <c r="O14" s="17"/>
      <c r="P14" s="8"/>
      <c r="R14" s="17" t="s">
        <v>15</v>
      </c>
      <c r="S14" s="8">
        <v>7.5</v>
      </c>
    </row>
    <row r="15" spans="1:19" x14ac:dyDescent="0.15">
      <c r="A15" s="5">
        <v>43842</v>
      </c>
      <c r="B15" s="5" t="s">
        <v>10</v>
      </c>
      <c r="C15" s="18"/>
      <c r="D15" s="8"/>
      <c r="F15" s="17"/>
      <c r="G15" s="8"/>
      <c r="I15" s="18"/>
      <c r="J15" s="8"/>
      <c r="L15" s="17" t="s">
        <v>15</v>
      </c>
      <c r="M15" s="8">
        <v>7.5</v>
      </c>
      <c r="O15" s="17"/>
      <c r="P15" s="8"/>
      <c r="R15" s="17" t="s">
        <v>15</v>
      </c>
      <c r="S15" s="8">
        <v>7.5</v>
      </c>
    </row>
    <row r="16" spans="1:19" x14ac:dyDescent="0.15">
      <c r="A16" s="5"/>
      <c r="B16" s="5"/>
      <c r="C16" s="18"/>
      <c r="D16" s="8"/>
      <c r="F16" s="17"/>
      <c r="G16" s="8"/>
      <c r="I16" s="18"/>
      <c r="J16" s="8"/>
      <c r="L16" s="17"/>
      <c r="M16" s="8"/>
      <c r="O16" s="17"/>
      <c r="P16" s="8"/>
      <c r="R16" s="17" t="s">
        <v>261</v>
      </c>
      <c r="S16" s="8">
        <v>127.5</v>
      </c>
    </row>
    <row r="17" spans="1:19" x14ac:dyDescent="0.15">
      <c r="A17" s="5">
        <v>43843</v>
      </c>
      <c r="B17" s="5" t="s">
        <v>5</v>
      </c>
      <c r="C17" s="18"/>
      <c r="D17" s="8"/>
      <c r="F17" s="17"/>
      <c r="G17" s="8"/>
      <c r="I17" s="18"/>
      <c r="J17" s="8"/>
      <c r="L17" s="17"/>
      <c r="M17" s="8"/>
      <c r="O17" s="17" t="s">
        <v>262</v>
      </c>
      <c r="P17" s="8">
        <f>67+40</f>
        <v>107</v>
      </c>
      <c r="R17" s="17" t="s">
        <v>15</v>
      </c>
      <c r="S17" s="8">
        <v>8</v>
      </c>
    </row>
    <row r="18" spans="1:19" x14ac:dyDescent="0.15">
      <c r="A18" s="5"/>
      <c r="B18" s="5"/>
      <c r="C18" s="18"/>
      <c r="D18" s="8"/>
      <c r="F18" s="17"/>
      <c r="G18" s="8"/>
      <c r="I18" s="18"/>
      <c r="J18" s="8"/>
      <c r="L18" s="17"/>
      <c r="M18" s="8"/>
      <c r="O18" s="17"/>
      <c r="P18" s="8"/>
      <c r="R18" s="17" t="s">
        <v>262</v>
      </c>
      <c r="S18" s="8">
        <v>-67</v>
      </c>
    </row>
    <row r="19" spans="1:19" x14ac:dyDescent="0.15">
      <c r="A19" s="5">
        <v>43844</v>
      </c>
      <c r="B19" s="5" t="s">
        <v>4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17" t="s">
        <v>15</v>
      </c>
      <c r="S19" s="8">
        <v>8</v>
      </c>
    </row>
    <row r="20" spans="1:19" x14ac:dyDescent="0.15">
      <c r="A20" s="5">
        <v>43845</v>
      </c>
      <c r="B20" s="5" t="s">
        <v>6</v>
      </c>
      <c r="C20" s="18"/>
      <c r="D20" s="8"/>
      <c r="F20" s="17"/>
      <c r="G20" s="8"/>
      <c r="I20" s="17"/>
      <c r="J20" s="8"/>
      <c r="L20" s="17" t="s">
        <v>15</v>
      </c>
      <c r="M20" s="8">
        <v>7.5</v>
      </c>
      <c r="O20" s="17"/>
      <c r="P20" s="8"/>
      <c r="R20" s="17" t="s">
        <v>15</v>
      </c>
      <c r="S20" s="8">
        <v>8</v>
      </c>
    </row>
    <row r="21" spans="1:19" x14ac:dyDescent="0.15">
      <c r="A21" s="5">
        <v>43846</v>
      </c>
      <c r="B21" s="5" t="s">
        <v>7</v>
      </c>
      <c r="C21" s="18"/>
      <c r="D21" s="8"/>
      <c r="F21" s="17" t="s">
        <v>263</v>
      </c>
      <c r="G21" s="8">
        <v>-1274</v>
      </c>
      <c r="I21" s="17"/>
      <c r="J21" s="8"/>
      <c r="L21" s="17"/>
      <c r="M21" s="8"/>
      <c r="O21" s="17" t="s">
        <v>51</v>
      </c>
      <c r="P21" s="8">
        <v>43</v>
      </c>
      <c r="R21" s="17" t="s">
        <v>51</v>
      </c>
      <c r="S21" s="8">
        <v>-65</v>
      </c>
    </row>
    <row r="22" spans="1:19" x14ac:dyDescent="0.15">
      <c r="A22" s="5"/>
      <c r="B22" s="5"/>
      <c r="C22" s="18"/>
      <c r="D22" s="8"/>
      <c r="F22" s="17" t="s">
        <v>222</v>
      </c>
      <c r="G22" s="8">
        <v>39</v>
      </c>
      <c r="I22" s="17"/>
      <c r="J22" s="8"/>
      <c r="L22" s="17"/>
      <c r="M22" s="8"/>
      <c r="O22" s="17" t="s">
        <v>51</v>
      </c>
      <c r="P22" s="8">
        <v>65</v>
      </c>
      <c r="R22" s="17" t="s">
        <v>15</v>
      </c>
      <c r="S22" s="8">
        <v>8</v>
      </c>
    </row>
    <row r="23" spans="1:19" x14ac:dyDescent="0.15">
      <c r="A23" s="5">
        <v>43847</v>
      </c>
      <c r="B23" s="5" t="s">
        <v>8</v>
      </c>
      <c r="C23" s="18"/>
      <c r="D23" s="8"/>
      <c r="F23" s="17"/>
      <c r="G23" s="8"/>
      <c r="I23" s="18"/>
      <c r="J23" s="8"/>
      <c r="L23" s="17"/>
      <c r="M23" s="8"/>
      <c r="O23" s="17"/>
      <c r="P23" s="8"/>
      <c r="R23" s="17" t="s">
        <v>15</v>
      </c>
      <c r="S23" s="8">
        <v>8</v>
      </c>
    </row>
    <row r="24" spans="1:19" x14ac:dyDescent="0.15">
      <c r="A24" s="5">
        <v>43848</v>
      </c>
      <c r="B24" s="5" t="s">
        <v>9</v>
      </c>
      <c r="C24" s="18"/>
      <c r="D24" s="8"/>
      <c r="F24" s="17"/>
      <c r="G24" s="8"/>
      <c r="I24" s="18"/>
      <c r="J24" s="8"/>
      <c r="L24" s="17"/>
      <c r="M24" s="8"/>
      <c r="O24" s="17"/>
      <c r="P24" s="8"/>
      <c r="R24" s="17"/>
      <c r="S24" s="8"/>
    </row>
    <row r="25" spans="1:19" x14ac:dyDescent="0.15">
      <c r="A25" s="5">
        <v>43849</v>
      </c>
      <c r="B25" s="5" t="s">
        <v>10</v>
      </c>
      <c r="C25" s="18"/>
      <c r="D25" s="8"/>
      <c r="F25" s="17"/>
      <c r="G25" s="8"/>
      <c r="I25" s="17"/>
      <c r="J25" s="8"/>
      <c r="L25" s="17"/>
      <c r="M25" s="8"/>
      <c r="O25" s="17"/>
      <c r="P25" s="8"/>
      <c r="R25" s="17"/>
      <c r="S25" s="8"/>
    </row>
    <row r="26" spans="1:19" x14ac:dyDescent="0.15">
      <c r="A26" s="5">
        <v>43850</v>
      </c>
      <c r="B26" s="5" t="s">
        <v>5</v>
      </c>
      <c r="C26" s="18"/>
      <c r="D26" s="8"/>
      <c r="F26" s="17"/>
      <c r="G26" s="8"/>
      <c r="I26" s="17"/>
      <c r="J26" s="8"/>
      <c r="L26" s="17"/>
      <c r="M26" s="8"/>
      <c r="O26" s="17" t="s">
        <v>15</v>
      </c>
      <c r="P26" s="8">
        <v>7</v>
      </c>
      <c r="R26" s="17" t="s">
        <v>15</v>
      </c>
      <c r="S26" s="8">
        <v>7</v>
      </c>
    </row>
    <row r="27" spans="1:19" x14ac:dyDescent="0.15">
      <c r="A27" s="5">
        <v>43851</v>
      </c>
      <c r="B27" s="5" t="s">
        <v>4</v>
      </c>
      <c r="C27" s="18"/>
      <c r="D27" s="8"/>
      <c r="F27" s="17"/>
      <c r="G27" s="8"/>
      <c r="I27" s="17"/>
      <c r="J27" s="8"/>
      <c r="L27" s="17" t="s">
        <v>264</v>
      </c>
      <c r="M27" s="8">
        <v>-250</v>
      </c>
      <c r="O27" s="17"/>
      <c r="P27" s="8"/>
      <c r="R27" s="17" t="s">
        <v>15</v>
      </c>
      <c r="S27" s="8">
        <v>7</v>
      </c>
    </row>
    <row r="28" spans="1:19" x14ac:dyDescent="0.15">
      <c r="A28" s="5">
        <v>43852</v>
      </c>
      <c r="B28" s="5" t="s">
        <v>6</v>
      </c>
      <c r="C28" s="18"/>
      <c r="D28" s="8"/>
      <c r="F28" s="17"/>
      <c r="G28" s="8"/>
      <c r="I28" s="17"/>
      <c r="J28" s="8"/>
      <c r="L28" s="17"/>
      <c r="M28" s="8"/>
      <c r="O28" s="17"/>
      <c r="P28" s="8"/>
      <c r="R28" s="17"/>
      <c r="S28" s="8"/>
    </row>
    <row r="29" spans="1:19" x14ac:dyDescent="0.15">
      <c r="A29" s="5">
        <v>43853</v>
      </c>
      <c r="B29" s="5" t="s">
        <v>7</v>
      </c>
      <c r="C29" s="18"/>
      <c r="D29" s="8"/>
      <c r="F29" s="18"/>
      <c r="G29" s="8"/>
      <c r="I29" s="17"/>
      <c r="J29" s="8"/>
      <c r="L29" s="17"/>
      <c r="M29" s="8"/>
      <c r="O29" s="17"/>
      <c r="P29" s="8"/>
      <c r="R29" s="17"/>
      <c r="S29" s="8"/>
    </row>
    <row r="30" spans="1:19" x14ac:dyDescent="0.15">
      <c r="A30" s="5">
        <v>43854</v>
      </c>
      <c r="B30" s="5" t="s">
        <v>8</v>
      </c>
      <c r="C30" s="18"/>
      <c r="D30" s="8"/>
      <c r="F30" s="18"/>
      <c r="G30" s="8"/>
      <c r="I30" s="18"/>
      <c r="J30" s="8"/>
      <c r="L30" s="18"/>
      <c r="M30" s="8"/>
      <c r="O30" s="18"/>
      <c r="P30" s="8"/>
      <c r="R30" s="18"/>
      <c r="S30" s="8"/>
    </row>
    <row r="31" spans="1:19" x14ac:dyDescent="0.15">
      <c r="A31" s="5">
        <v>43855</v>
      </c>
      <c r="B31" s="5" t="s">
        <v>9</v>
      </c>
      <c r="C31" s="18"/>
      <c r="D31" s="8"/>
      <c r="F31" s="17"/>
      <c r="G31" s="8"/>
      <c r="I31" s="17"/>
      <c r="J31" s="8"/>
      <c r="L31" s="17"/>
      <c r="M31" s="8"/>
      <c r="O31" s="17"/>
      <c r="P31" s="8"/>
      <c r="R31" s="17"/>
      <c r="S31" s="8"/>
    </row>
    <row r="32" spans="1:19" x14ac:dyDescent="0.15">
      <c r="A32" s="5">
        <v>43856</v>
      </c>
      <c r="B32" s="5" t="s">
        <v>10</v>
      </c>
      <c r="C32" s="18"/>
      <c r="D32" s="8"/>
      <c r="F32" s="17"/>
      <c r="G32" s="8"/>
      <c r="I32" s="18"/>
      <c r="J32" s="8"/>
      <c r="L32" s="17"/>
      <c r="M32" s="8"/>
      <c r="O32" s="17"/>
      <c r="P32" s="8"/>
      <c r="R32" s="17"/>
      <c r="S32" s="8"/>
    </row>
    <row r="33" spans="1:19" x14ac:dyDescent="0.15">
      <c r="A33" s="5">
        <v>43857</v>
      </c>
      <c r="B33" s="5" t="s">
        <v>5</v>
      </c>
      <c r="C33" s="18"/>
      <c r="D33" s="8"/>
      <c r="F33" s="17"/>
      <c r="G33" s="8"/>
      <c r="I33" s="18"/>
      <c r="J33" s="8"/>
      <c r="L33" s="17"/>
      <c r="M33" s="8"/>
      <c r="O33" s="17"/>
      <c r="P33" s="8"/>
      <c r="R33" s="17"/>
      <c r="S33" s="8"/>
    </row>
    <row r="34" spans="1:19" x14ac:dyDescent="0.15">
      <c r="A34" s="5">
        <v>43858</v>
      </c>
      <c r="B34" s="5" t="s">
        <v>4</v>
      </c>
      <c r="C34" s="18"/>
      <c r="D34" s="8"/>
      <c r="F34" s="17"/>
      <c r="G34" s="8"/>
      <c r="I34" s="18"/>
      <c r="J34" s="8"/>
      <c r="L34" s="17"/>
      <c r="M34" s="8"/>
      <c r="O34" s="17"/>
      <c r="P34" s="8"/>
      <c r="R34" s="17"/>
      <c r="S34" s="8"/>
    </row>
    <row r="35" spans="1:19" x14ac:dyDescent="0.15">
      <c r="A35" s="5">
        <v>43859</v>
      </c>
      <c r="B35" s="5" t="s">
        <v>6</v>
      </c>
      <c r="C35" s="18"/>
      <c r="D35" s="8"/>
      <c r="F35" s="17"/>
      <c r="G35" s="8"/>
      <c r="I35" s="17"/>
      <c r="J35" s="8"/>
      <c r="L35" s="18"/>
      <c r="M35" s="8"/>
      <c r="O35" s="17"/>
      <c r="P35" s="8"/>
      <c r="R35" s="17"/>
      <c r="S35" s="8"/>
    </row>
    <row r="36" spans="1:19" x14ac:dyDescent="0.15">
      <c r="A36" s="5">
        <v>43860</v>
      </c>
      <c r="B36" s="5" t="s">
        <v>7</v>
      </c>
      <c r="C36" s="18"/>
      <c r="D36" s="8"/>
      <c r="F36" s="17"/>
      <c r="G36" s="8"/>
      <c r="I36" s="17"/>
      <c r="J36" s="8"/>
      <c r="L36" s="18"/>
      <c r="M36" s="8"/>
      <c r="O36" s="17"/>
      <c r="P36" s="8"/>
      <c r="R36" s="17"/>
      <c r="S36" s="8"/>
    </row>
    <row r="37" spans="1:19" x14ac:dyDescent="0.15">
      <c r="A37" s="5">
        <v>43861</v>
      </c>
      <c r="B37" s="5" t="s">
        <v>8</v>
      </c>
      <c r="C37" s="18"/>
      <c r="D37" s="8"/>
      <c r="F37" s="17"/>
      <c r="G37" s="8"/>
      <c r="I37" s="17"/>
      <c r="J37" s="8"/>
      <c r="L37" s="18"/>
      <c r="M37" s="8"/>
      <c r="O37" s="18"/>
      <c r="P37" s="8"/>
      <c r="R37" s="18"/>
      <c r="S37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F15" sqref="F15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6.625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SUM(D3:D36)</f>
        <v>0</v>
      </c>
      <c r="D2" s="43"/>
      <c r="E2" s="3"/>
      <c r="F2" s="42">
        <f>SUM(G:G)</f>
        <v>303</v>
      </c>
      <c r="G2" s="43"/>
      <c r="H2" s="14"/>
      <c r="I2" s="42">
        <f>SUM(J:J)</f>
        <v>31</v>
      </c>
      <c r="J2" s="43"/>
      <c r="K2" s="14"/>
      <c r="L2" s="42">
        <f>SUM(M:M)</f>
        <v>-146</v>
      </c>
      <c r="M2" s="43"/>
      <c r="O2" s="42">
        <f>SUM(P:P)</f>
        <v>-71</v>
      </c>
      <c r="P2" s="43"/>
      <c r="R2" s="42">
        <f>SUM(S:S)</f>
        <v>131.70000000000005</v>
      </c>
      <c r="S2" s="43"/>
    </row>
    <row r="3" spans="1:19" x14ac:dyDescent="0.15">
      <c r="A3" s="5">
        <v>43800</v>
      </c>
      <c r="B3" s="5" t="s">
        <v>44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43801</v>
      </c>
      <c r="B4" s="5" t="s">
        <v>5</v>
      </c>
      <c r="C4" s="18"/>
      <c r="D4" s="8"/>
      <c r="F4" s="17"/>
      <c r="G4" s="8"/>
      <c r="I4" s="17"/>
      <c r="J4" s="8"/>
      <c r="L4" s="17"/>
      <c r="M4" s="8"/>
      <c r="O4" s="17" t="s">
        <v>70</v>
      </c>
      <c r="P4" s="8">
        <v>7.5</v>
      </c>
      <c r="R4" s="17"/>
      <c r="S4" s="8"/>
    </row>
    <row r="5" spans="1:19" x14ac:dyDescent="0.15">
      <c r="A5" s="5">
        <v>43802</v>
      </c>
      <c r="B5" s="5" t="s">
        <v>4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 t="s">
        <v>245</v>
      </c>
      <c r="S5" s="8">
        <v>6</v>
      </c>
    </row>
    <row r="6" spans="1:19" x14ac:dyDescent="0.15">
      <c r="A6" s="5"/>
      <c r="B6" s="5"/>
      <c r="C6" s="18"/>
      <c r="D6" s="8"/>
      <c r="F6" s="17"/>
      <c r="G6" s="8"/>
      <c r="I6" s="17"/>
      <c r="J6" s="8"/>
      <c r="L6" s="17"/>
      <c r="M6" s="8"/>
      <c r="O6" s="17"/>
      <c r="P6" s="8"/>
      <c r="R6" s="17" t="s">
        <v>246</v>
      </c>
      <c r="S6" s="8">
        <v>28</v>
      </c>
    </row>
    <row r="7" spans="1:19" x14ac:dyDescent="0.15">
      <c r="A7" s="5">
        <v>43803</v>
      </c>
      <c r="B7" s="5" t="s">
        <v>6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 t="s">
        <v>15</v>
      </c>
      <c r="S7" s="8">
        <v>6</v>
      </c>
    </row>
    <row r="8" spans="1:19" x14ac:dyDescent="0.15">
      <c r="A8" s="5">
        <v>43804</v>
      </c>
      <c r="B8" s="5" t="s">
        <v>7</v>
      </c>
      <c r="C8" s="18"/>
      <c r="D8" s="8"/>
      <c r="F8" s="17"/>
      <c r="G8" s="8"/>
      <c r="I8" s="18"/>
      <c r="J8" s="8"/>
      <c r="L8" s="17"/>
      <c r="M8" s="8"/>
      <c r="O8" s="17"/>
      <c r="P8" s="8"/>
      <c r="R8" s="17"/>
      <c r="S8" s="8"/>
    </row>
    <row r="9" spans="1:19" x14ac:dyDescent="0.15">
      <c r="A9" s="5">
        <v>43805</v>
      </c>
      <c r="B9" s="5" t="s">
        <v>8</v>
      </c>
      <c r="C9" s="18"/>
      <c r="D9" s="8"/>
      <c r="F9" s="18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43806</v>
      </c>
      <c r="B10" s="5" t="s">
        <v>9</v>
      </c>
      <c r="C10" s="18"/>
      <c r="D10" s="8"/>
      <c r="F10" s="17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43807</v>
      </c>
      <c r="B11" s="5" t="s">
        <v>10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43808</v>
      </c>
      <c r="B12" s="5" t="s">
        <v>5</v>
      </c>
      <c r="C12" s="18"/>
      <c r="D12" s="8"/>
      <c r="F12" s="17"/>
      <c r="G12" s="8"/>
      <c r="I12" s="18"/>
      <c r="J12" s="8"/>
      <c r="L12" s="17"/>
      <c r="M12" s="8"/>
      <c r="O12" s="17" t="s">
        <v>15</v>
      </c>
      <c r="P12" s="8">
        <v>-7.5</v>
      </c>
      <c r="R12" s="17"/>
      <c r="S12" s="8"/>
    </row>
    <row r="13" spans="1:19" x14ac:dyDescent="0.15">
      <c r="A13" s="5">
        <v>43809</v>
      </c>
      <c r="B13" s="5" t="s">
        <v>4</v>
      </c>
      <c r="C13" s="18"/>
      <c r="D13" s="8"/>
      <c r="F13" s="17"/>
      <c r="G13" s="8"/>
      <c r="I13" s="18"/>
      <c r="J13" s="8"/>
      <c r="L13" s="17"/>
      <c r="M13" s="8"/>
      <c r="O13" s="17" t="s">
        <v>15</v>
      </c>
      <c r="P13" s="8">
        <v>-8</v>
      </c>
      <c r="R13" s="17"/>
      <c r="S13" s="8"/>
    </row>
    <row r="14" spans="1:19" x14ac:dyDescent="0.15">
      <c r="A14" s="5">
        <v>43810</v>
      </c>
      <c r="B14" s="5" t="s">
        <v>6</v>
      </c>
      <c r="C14" s="18"/>
      <c r="D14" s="8"/>
      <c r="F14" s="17"/>
      <c r="G14" s="8"/>
      <c r="I14" s="18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43811</v>
      </c>
      <c r="B15" s="5" t="s">
        <v>7</v>
      </c>
      <c r="C15" s="18"/>
      <c r="D15" s="8"/>
      <c r="F15" s="17"/>
      <c r="G15" s="8"/>
      <c r="I15" s="18"/>
      <c r="J15" s="8"/>
      <c r="L15" s="17"/>
      <c r="M15" s="8"/>
      <c r="O15" s="17" t="s">
        <v>249</v>
      </c>
      <c r="P15" s="8">
        <v>7.5</v>
      </c>
      <c r="R15" s="17"/>
      <c r="S15" s="8"/>
    </row>
    <row r="16" spans="1:19" x14ac:dyDescent="0.15">
      <c r="A16" s="5"/>
      <c r="B16" s="5"/>
      <c r="C16" s="18"/>
      <c r="D16" s="8"/>
      <c r="F16" s="17"/>
      <c r="G16" s="8"/>
      <c r="I16" s="18"/>
      <c r="J16" s="8"/>
      <c r="L16" s="17"/>
      <c r="M16" s="8"/>
      <c r="O16" s="17" t="s">
        <v>250</v>
      </c>
      <c r="P16" s="8">
        <v>-19</v>
      </c>
      <c r="R16" s="17"/>
      <c r="S16" s="8"/>
    </row>
    <row r="17" spans="1:19" x14ac:dyDescent="0.15">
      <c r="A17" s="5">
        <v>43812</v>
      </c>
      <c r="B17" s="5" t="s">
        <v>8</v>
      </c>
      <c r="C17" s="18"/>
      <c r="D17" s="8"/>
      <c r="F17" s="17"/>
      <c r="G17" s="8"/>
      <c r="I17" s="17"/>
      <c r="J17" s="8"/>
      <c r="L17" s="17"/>
      <c r="M17" s="8"/>
      <c r="O17" s="17"/>
      <c r="P17" s="8"/>
      <c r="R17" s="17"/>
      <c r="S17" s="8"/>
    </row>
    <row r="18" spans="1:19" x14ac:dyDescent="0.15">
      <c r="A18" s="5">
        <v>43813</v>
      </c>
      <c r="B18" s="5" t="s">
        <v>9</v>
      </c>
      <c r="C18" s="18"/>
      <c r="D18" s="8"/>
      <c r="F18" s="17"/>
      <c r="G18" s="8"/>
      <c r="I18" s="17"/>
      <c r="J18" s="8"/>
      <c r="L18" s="17"/>
      <c r="M18" s="8"/>
      <c r="O18" s="17" t="s">
        <v>15</v>
      </c>
      <c r="P18" s="8">
        <v>-8</v>
      </c>
      <c r="R18" s="17"/>
      <c r="S18" s="8"/>
    </row>
    <row r="19" spans="1:19" x14ac:dyDescent="0.15">
      <c r="A19" s="5">
        <v>43814</v>
      </c>
      <c r="B19" s="5" t="s">
        <v>10</v>
      </c>
      <c r="C19" s="18"/>
      <c r="D19" s="8"/>
      <c r="F19" s="17"/>
      <c r="G19" s="8"/>
      <c r="I19" s="18"/>
      <c r="J19" s="8"/>
      <c r="L19" s="17"/>
      <c r="M19" s="8"/>
      <c r="O19" s="17"/>
      <c r="P19" s="8"/>
      <c r="R19" s="17"/>
      <c r="S19" s="8"/>
    </row>
    <row r="20" spans="1:19" x14ac:dyDescent="0.15">
      <c r="A20" s="5">
        <v>43815</v>
      </c>
      <c r="B20" s="5" t="s">
        <v>5</v>
      </c>
      <c r="C20" s="18"/>
      <c r="D20" s="8"/>
      <c r="F20" s="17"/>
      <c r="G20" s="8"/>
      <c r="I20" s="18"/>
      <c r="J20" s="8"/>
      <c r="L20" s="17"/>
      <c r="M20" s="8"/>
      <c r="O20" s="17" t="s">
        <v>15</v>
      </c>
      <c r="P20" s="8">
        <v>7.5</v>
      </c>
      <c r="R20" s="17" t="s">
        <v>15</v>
      </c>
      <c r="S20" s="8">
        <v>7.5</v>
      </c>
    </row>
    <row r="21" spans="1:19" x14ac:dyDescent="0.15">
      <c r="A21" s="5">
        <v>43816</v>
      </c>
      <c r="B21" s="5" t="s">
        <v>4</v>
      </c>
      <c r="C21" s="18"/>
      <c r="D21" s="8"/>
      <c r="F21" s="17"/>
      <c r="G21" s="8"/>
      <c r="I21" s="17"/>
      <c r="J21" s="8"/>
      <c r="L21" s="17" t="s">
        <v>251</v>
      </c>
      <c r="M21" s="8">
        <v>34</v>
      </c>
      <c r="O21" s="17"/>
      <c r="P21" s="8"/>
      <c r="R21" s="17"/>
      <c r="S21" s="8"/>
    </row>
    <row r="22" spans="1:19" x14ac:dyDescent="0.15">
      <c r="A22" s="5">
        <v>43817</v>
      </c>
      <c r="B22" s="5" t="s">
        <v>6</v>
      </c>
      <c r="C22" s="18"/>
      <c r="D22" s="8"/>
      <c r="F22" s="17"/>
      <c r="G22" s="8"/>
      <c r="I22" s="17"/>
      <c r="J22" s="8"/>
      <c r="L22" s="17"/>
      <c r="M22" s="8"/>
      <c r="O22" s="17" t="s">
        <v>252</v>
      </c>
      <c r="P22" s="8">
        <v>44</v>
      </c>
      <c r="R22" s="17" t="s">
        <v>15</v>
      </c>
      <c r="S22" s="8">
        <v>10</v>
      </c>
    </row>
    <row r="23" spans="1:19" x14ac:dyDescent="0.15">
      <c r="A23" s="5">
        <v>43818</v>
      </c>
      <c r="B23" s="5" t="s">
        <v>7</v>
      </c>
      <c r="C23" s="18"/>
      <c r="D23" s="8"/>
      <c r="F23" s="17"/>
      <c r="G23" s="8"/>
      <c r="I23" s="17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43819</v>
      </c>
      <c r="B24" s="5" t="s">
        <v>8</v>
      </c>
      <c r="C24" s="18"/>
      <c r="D24" s="8"/>
      <c r="F24" s="17" t="s">
        <v>253</v>
      </c>
      <c r="G24" s="8">
        <v>29</v>
      </c>
      <c r="I24" s="17"/>
      <c r="J24" s="8"/>
      <c r="L24" s="17"/>
      <c r="M24" s="8"/>
      <c r="O24" s="17"/>
      <c r="P24" s="8"/>
      <c r="R24" s="17" t="s">
        <v>15</v>
      </c>
      <c r="S24" s="8">
        <v>7.5</v>
      </c>
    </row>
    <row r="25" spans="1:19" x14ac:dyDescent="0.15">
      <c r="A25" s="5">
        <v>43820</v>
      </c>
      <c r="B25" s="5" t="s">
        <v>9</v>
      </c>
      <c r="C25" s="18"/>
      <c r="D25" s="8"/>
      <c r="F25" s="18"/>
      <c r="G25" s="8"/>
      <c r="I25" s="17"/>
      <c r="J25" s="8"/>
      <c r="L25" s="17"/>
      <c r="M25" s="8"/>
      <c r="O25" s="17"/>
      <c r="P25" s="8"/>
      <c r="R25" s="17"/>
      <c r="S25" s="8"/>
    </row>
    <row r="26" spans="1:19" x14ac:dyDescent="0.15">
      <c r="A26" s="5">
        <v>43821</v>
      </c>
      <c r="B26" s="5" t="s">
        <v>10</v>
      </c>
      <c r="C26" s="18"/>
      <c r="D26" s="8"/>
      <c r="F26" s="18"/>
      <c r="G26" s="8"/>
      <c r="I26" s="18"/>
      <c r="J26" s="8"/>
      <c r="L26" s="18"/>
      <c r="M26" s="8"/>
      <c r="O26" s="18"/>
      <c r="P26" s="8"/>
      <c r="R26" s="18"/>
      <c r="S26" s="8"/>
    </row>
    <row r="27" spans="1:19" x14ac:dyDescent="0.15">
      <c r="A27" s="5">
        <v>43822</v>
      </c>
      <c r="B27" s="5" t="s">
        <v>5</v>
      </c>
      <c r="C27" s="18"/>
      <c r="D27" s="8"/>
      <c r="F27" s="17" t="s">
        <v>222</v>
      </c>
      <c r="G27" s="8">
        <v>39</v>
      </c>
      <c r="I27" s="17"/>
      <c r="J27" s="8"/>
      <c r="L27" s="17"/>
      <c r="M27" s="8"/>
      <c r="O27" s="17" t="s">
        <v>15</v>
      </c>
      <c r="P27" s="8">
        <v>7.5</v>
      </c>
      <c r="R27" s="17"/>
      <c r="S27" s="8"/>
    </row>
    <row r="28" spans="1:19" x14ac:dyDescent="0.15">
      <c r="A28" s="5">
        <v>43823</v>
      </c>
      <c r="B28" s="5" t="s">
        <v>4</v>
      </c>
      <c r="C28" s="18"/>
      <c r="D28" s="8"/>
      <c r="F28" s="17" t="s">
        <v>254</v>
      </c>
      <c r="G28" s="8">
        <v>100</v>
      </c>
      <c r="I28" s="18"/>
      <c r="J28" s="8"/>
      <c r="L28" s="17"/>
      <c r="M28" s="8"/>
      <c r="O28" s="17" t="s">
        <v>15</v>
      </c>
      <c r="P28" s="8">
        <v>-7.5</v>
      </c>
      <c r="R28" s="17" t="s">
        <v>15</v>
      </c>
      <c r="S28" s="8">
        <v>7.5</v>
      </c>
    </row>
    <row r="29" spans="1:19" x14ac:dyDescent="0.15">
      <c r="A29" s="5"/>
      <c r="B29" s="5"/>
      <c r="C29" s="18"/>
      <c r="D29" s="8"/>
      <c r="F29" s="17" t="s">
        <v>222</v>
      </c>
      <c r="G29" s="8">
        <v>30</v>
      </c>
      <c r="I29" s="18"/>
      <c r="J29" s="8"/>
      <c r="L29" s="17"/>
      <c r="M29" s="8"/>
      <c r="O29" s="17"/>
      <c r="P29" s="8"/>
      <c r="R29" s="17"/>
      <c r="S29" s="8"/>
    </row>
    <row r="30" spans="1:19" x14ac:dyDescent="0.15">
      <c r="A30" s="5">
        <v>43824</v>
      </c>
      <c r="B30" s="5" t="s">
        <v>6</v>
      </c>
      <c r="C30" s="18"/>
      <c r="D30" s="8"/>
      <c r="F30" s="17"/>
      <c r="G30" s="8"/>
      <c r="I30" s="18"/>
      <c r="J30" s="8"/>
      <c r="L30" s="17"/>
      <c r="M30" s="8"/>
      <c r="O30" s="17" t="s">
        <v>255</v>
      </c>
      <c r="P30" s="8">
        <v>-65</v>
      </c>
      <c r="R30" s="17" t="s">
        <v>255</v>
      </c>
      <c r="S30" s="8">
        <f>900-863.3</f>
        <v>36.700000000000045</v>
      </c>
    </row>
    <row r="31" spans="1:19" x14ac:dyDescent="0.15">
      <c r="A31" s="5">
        <v>43825</v>
      </c>
      <c r="B31" s="5" t="s">
        <v>7</v>
      </c>
      <c r="C31" s="18"/>
      <c r="D31" s="8"/>
      <c r="F31" s="17" t="s">
        <v>222</v>
      </c>
      <c r="G31" s="8">
        <v>39</v>
      </c>
      <c r="I31" s="17"/>
      <c r="J31" s="8"/>
      <c r="L31" s="18"/>
      <c r="M31" s="8"/>
      <c r="O31" s="17" t="s">
        <v>15</v>
      </c>
      <c r="P31" s="8">
        <v>7.5</v>
      </c>
      <c r="R31" s="17" t="s">
        <v>15</v>
      </c>
      <c r="S31" s="8">
        <v>7.5</v>
      </c>
    </row>
    <row r="32" spans="1:19" x14ac:dyDescent="0.15">
      <c r="A32" s="5">
        <v>43826</v>
      </c>
      <c r="B32" s="5" t="s">
        <v>8</v>
      </c>
      <c r="C32" s="18"/>
      <c r="D32" s="8"/>
      <c r="F32" s="17" t="s">
        <v>222</v>
      </c>
      <c r="G32" s="8">
        <v>35</v>
      </c>
      <c r="I32" s="17"/>
      <c r="J32" s="8"/>
      <c r="L32" s="18"/>
      <c r="M32" s="8"/>
      <c r="O32" s="17"/>
      <c r="P32" s="8"/>
      <c r="R32" s="17"/>
      <c r="S32" s="8"/>
    </row>
    <row r="33" spans="1:19" x14ac:dyDescent="0.15">
      <c r="A33" s="5">
        <v>43827</v>
      </c>
      <c r="B33" s="5" t="s">
        <v>9</v>
      </c>
      <c r="C33" s="18"/>
      <c r="D33" s="8"/>
      <c r="F33" s="17"/>
      <c r="G33" s="8"/>
      <c r="I33" s="17"/>
      <c r="J33" s="8"/>
      <c r="L33" s="18"/>
      <c r="M33" s="8"/>
      <c r="O33" s="18"/>
      <c r="P33" s="8"/>
      <c r="R33" s="18"/>
      <c r="S33" s="8"/>
    </row>
    <row r="34" spans="1:19" x14ac:dyDescent="0.15">
      <c r="A34" s="5">
        <v>43828</v>
      </c>
      <c r="B34" s="5" t="s">
        <v>10</v>
      </c>
      <c r="C34" s="18"/>
      <c r="D34" s="8"/>
      <c r="F34" s="17"/>
      <c r="G34" s="8"/>
      <c r="I34" s="17"/>
      <c r="J34" s="8"/>
      <c r="L34" s="18"/>
      <c r="M34" s="8"/>
      <c r="O34" s="18"/>
      <c r="P34" s="8"/>
      <c r="R34" s="18"/>
      <c r="S34" s="8"/>
    </row>
    <row r="35" spans="1:19" x14ac:dyDescent="0.15">
      <c r="A35" s="5">
        <v>43829</v>
      </c>
      <c r="B35" s="5" t="s">
        <v>5</v>
      </c>
      <c r="C35" s="18"/>
      <c r="D35" s="8"/>
      <c r="F35" s="17"/>
      <c r="G35" s="8"/>
      <c r="I35" s="17"/>
      <c r="J35" s="8"/>
      <c r="L35" s="17" t="s">
        <v>27</v>
      </c>
      <c r="M35" s="8">
        <v>-180</v>
      </c>
      <c r="O35" s="17" t="s">
        <v>15</v>
      </c>
      <c r="P35" s="8">
        <v>-15</v>
      </c>
      <c r="R35" s="17" t="s">
        <v>15</v>
      </c>
      <c r="S35" s="8">
        <v>7.5</v>
      </c>
    </row>
    <row r="36" spans="1:19" x14ac:dyDescent="0.15">
      <c r="A36" s="5">
        <v>43830</v>
      </c>
      <c r="B36" s="5" t="s">
        <v>4</v>
      </c>
      <c r="C36" s="18"/>
      <c r="D36" s="8"/>
      <c r="F36" s="17" t="s">
        <v>222</v>
      </c>
      <c r="G36" s="8">
        <v>31</v>
      </c>
      <c r="I36" s="17" t="s">
        <v>222</v>
      </c>
      <c r="J36" s="8">
        <v>31</v>
      </c>
      <c r="L36" s="18"/>
      <c r="M36" s="8"/>
      <c r="O36" s="17" t="s">
        <v>15</v>
      </c>
      <c r="P36" s="8">
        <v>-22.5</v>
      </c>
      <c r="R36" s="17" t="s">
        <v>15</v>
      </c>
      <c r="S36" s="8">
        <v>7.5</v>
      </c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selection activeCell="M36" sqref="M36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SUM(D3:D36)</f>
        <v>0</v>
      </c>
      <c r="D2" s="43"/>
      <c r="E2" s="3"/>
      <c r="F2" s="42">
        <f>SUM(G:G)</f>
        <v>339.5</v>
      </c>
      <c r="G2" s="43"/>
      <c r="H2" s="14"/>
      <c r="I2" s="42">
        <f>SUM(J:J)</f>
        <v>212</v>
      </c>
      <c r="J2" s="43"/>
      <c r="K2" s="14"/>
      <c r="L2" s="42">
        <f>SUM(M:M)</f>
        <v>30</v>
      </c>
      <c r="M2" s="43"/>
      <c r="O2" s="42">
        <f>SUM(P:P)</f>
        <v>-58</v>
      </c>
      <c r="P2" s="43"/>
      <c r="R2" s="42">
        <f>SUM(S:S)</f>
        <v>-208</v>
      </c>
      <c r="S2" s="43"/>
    </row>
    <row r="3" spans="1:19" x14ac:dyDescent="0.15">
      <c r="A3" s="5">
        <v>43770</v>
      </c>
      <c r="B3" s="5" t="s">
        <v>8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43771</v>
      </c>
      <c r="B4" s="5" t="s">
        <v>9</v>
      </c>
      <c r="C4" s="18"/>
      <c r="D4" s="8"/>
      <c r="F4" s="17" t="s">
        <v>27</v>
      </c>
      <c r="G4" s="8">
        <v>350</v>
      </c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43772</v>
      </c>
      <c r="B5" s="5" t="s">
        <v>10</v>
      </c>
      <c r="C5" s="18"/>
      <c r="D5" s="8"/>
      <c r="F5" s="17" t="s">
        <v>27</v>
      </c>
      <c r="G5" s="8">
        <v>398</v>
      </c>
      <c r="I5" s="17"/>
      <c r="J5" s="8"/>
      <c r="L5" s="17"/>
      <c r="M5" s="8"/>
      <c r="O5" s="17" t="s">
        <v>234</v>
      </c>
      <c r="P5" s="8">
        <v>7</v>
      </c>
      <c r="R5" s="17"/>
      <c r="S5" s="8"/>
    </row>
    <row r="6" spans="1:19" x14ac:dyDescent="0.15">
      <c r="A6" s="5"/>
      <c r="B6" s="5"/>
      <c r="C6" s="18"/>
      <c r="D6" s="8"/>
      <c r="F6" s="17"/>
      <c r="G6" s="8"/>
      <c r="I6" s="17"/>
      <c r="J6" s="8"/>
      <c r="L6" s="17"/>
      <c r="M6" s="8"/>
      <c r="O6" s="17" t="s">
        <v>27</v>
      </c>
      <c r="P6" s="8">
        <v>-100</v>
      </c>
      <c r="R6" s="17"/>
      <c r="S6" s="8"/>
    </row>
    <row r="7" spans="1:19" x14ac:dyDescent="0.15">
      <c r="A7" s="5">
        <v>43773</v>
      </c>
      <c r="B7" s="5" t="s">
        <v>5</v>
      </c>
      <c r="C7" s="18"/>
      <c r="D7" s="8"/>
      <c r="F7" s="17"/>
      <c r="G7" s="8"/>
      <c r="I7" s="18" t="s">
        <v>235</v>
      </c>
      <c r="J7" s="8">
        <v>26</v>
      </c>
      <c r="L7" s="17"/>
      <c r="M7" s="8"/>
      <c r="O7" s="17"/>
      <c r="P7" s="8"/>
      <c r="R7" s="17"/>
      <c r="S7" s="8"/>
    </row>
    <row r="8" spans="1:19" x14ac:dyDescent="0.15">
      <c r="A8" s="5">
        <v>43774</v>
      </c>
      <c r="B8" s="5" t="s">
        <v>4</v>
      </c>
      <c r="C8" s="18"/>
      <c r="D8" s="8"/>
      <c r="F8" s="18" t="s">
        <v>222</v>
      </c>
      <c r="G8" s="8">
        <v>39</v>
      </c>
      <c r="I8" s="18" t="s">
        <v>222</v>
      </c>
      <c r="J8" s="8">
        <v>39</v>
      </c>
      <c r="L8" s="17"/>
      <c r="M8" s="8"/>
      <c r="O8" s="17"/>
      <c r="P8" s="8"/>
      <c r="R8" s="17"/>
      <c r="S8" s="8"/>
    </row>
    <row r="9" spans="1:19" x14ac:dyDescent="0.15">
      <c r="A9" s="5">
        <v>43775</v>
      </c>
      <c r="B9" s="5" t="s">
        <v>6</v>
      </c>
      <c r="C9" s="18"/>
      <c r="D9" s="8"/>
      <c r="F9" s="17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43776</v>
      </c>
      <c r="B10" s="5" t="s">
        <v>7</v>
      </c>
      <c r="C10" s="18"/>
      <c r="D10" s="8"/>
      <c r="F10" s="17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43777</v>
      </c>
      <c r="B11" s="5" t="s">
        <v>8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43778</v>
      </c>
      <c r="B12" s="5" t="s">
        <v>9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43779</v>
      </c>
      <c r="B13" s="5" t="s">
        <v>10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43780</v>
      </c>
      <c r="B14" s="5" t="s">
        <v>5</v>
      </c>
      <c r="C14" s="18"/>
      <c r="D14" s="8"/>
      <c r="F14" s="17" t="s">
        <v>27</v>
      </c>
      <c r="G14" s="8">
        <v>68</v>
      </c>
      <c r="I14" s="18"/>
      <c r="J14" s="8"/>
      <c r="L14" s="17"/>
      <c r="M14" s="8"/>
      <c r="O14" s="17" t="s">
        <v>236</v>
      </c>
      <c r="P14" s="8">
        <v>9</v>
      </c>
      <c r="R14" s="17" t="s">
        <v>236</v>
      </c>
      <c r="S14" s="8">
        <v>9</v>
      </c>
    </row>
    <row r="15" spans="1:19" x14ac:dyDescent="0.15">
      <c r="A15" s="5">
        <v>43781</v>
      </c>
      <c r="B15" s="5" t="s">
        <v>4</v>
      </c>
      <c r="C15" s="18"/>
      <c r="D15" s="8"/>
      <c r="F15" s="17" t="s">
        <v>27</v>
      </c>
      <c r="G15" s="8">
        <v>103</v>
      </c>
      <c r="I15" s="17"/>
      <c r="J15" s="8"/>
      <c r="L15" s="17"/>
      <c r="M15" s="8"/>
      <c r="O15" s="17"/>
      <c r="P15" s="8"/>
      <c r="R15" s="17"/>
      <c r="S15" s="8"/>
    </row>
    <row r="16" spans="1:19" x14ac:dyDescent="0.15">
      <c r="A16" s="5">
        <v>43782</v>
      </c>
      <c r="B16" s="5" t="s">
        <v>6</v>
      </c>
      <c r="C16" s="18"/>
      <c r="D16" s="8"/>
      <c r="F16" s="17" t="s">
        <v>27</v>
      </c>
      <c r="G16" s="8">
        <v>176</v>
      </c>
      <c r="I16" s="17" t="s">
        <v>237</v>
      </c>
      <c r="J16" s="8">
        <v>4</v>
      </c>
      <c r="L16" s="17"/>
      <c r="M16" s="8"/>
      <c r="O16" s="17"/>
      <c r="P16" s="8"/>
      <c r="R16" s="17" t="s">
        <v>237</v>
      </c>
      <c r="S16" s="8">
        <v>6</v>
      </c>
    </row>
    <row r="17" spans="1:19" x14ac:dyDescent="0.15">
      <c r="A17" s="5"/>
      <c r="B17" s="5"/>
      <c r="C17" s="18"/>
      <c r="D17" s="8"/>
      <c r="F17" s="17"/>
      <c r="G17" s="8"/>
      <c r="I17" s="18" t="s">
        <v>222</v>
      </c>
      <c r="J17" s="8">
        <v>42</v>
      </c>
      <c r="L17" s="17"/>
      <c r="M17" s="8"/>
      <c r="O17" s="17"/>
      <c r="P17" s="8"/>
      <c r="R17" s="17"/>
      <c r="S17" s="8"/>
    </row>
    <row r="18" spans="1:19" x14ac:dyDescent="0.15">
      <c r="A18" s="5">
        <v>43783</v>
      </c>
      <c r="B18" s="5" t="s">
        <v>7</v>
      </c>
      <c r="C18" s="18"/>
      <c r="D18" s="8"/>
      <c r="F18" s="17"/>
      <c r="G18" s="8"/>
      <c r="I18" s="18" t="s">
        <v>222</v>
      </c>
      <c r="J18" s="8">
        <v>32</v>
      </c>
      <c r="L18" s="17"/>
      <c r="M18" s="8"/>
      <c r="O18" s="17"/>
      <c r="P18" s="8"/>
      <c r="R18" s="17"/>
      <c r="S18" s="8"/>
    </row>
    <row r="19" spans="1:19" x14ac:dyDescent="0.15">
      <c r="A19" s="5">
        <v>43784</v>
      </c>
      <c r="B19" s="5" t="s">
        <v>8</v>
      </c>
      <c r="C19" s="18"/>
      <c r="D19" s="8"/>
      <c r="F19" s="17"/>
      <c r="G19" s="8"/>
      <c r="I19" s="17"/>
      <c r="J19" s="8"/>
      <c r="L19" s="17"/>
      <c r="M19" s="8"/>
      <c r="O19" s="17" t="s">
        <v>238</v>
      </c>
      <c r="P19" s="8">
        <v>-21.5</v>
      </c>
      <c r="R19" s="17" t="s">
        <v>238</v>
      </c>
      <c r="S19" s="8">
        <v>20</v>
      </c>
    </row>
    <row r="20" spans="1:19" x14ac:dyDescent="0.15">
      <c r="A20" s="5">
        <v>43785</v>
      </c>
      <c r="B20" s="5" t="s">
        <v>9</v>
      </c>
      <c r="C20" s="18"/>
      <c r="D20" s="8"/>
      <c r="F20" s="17"/>
      <c r="G20" s="8"/>
      <c r="I20" s="17"/>
      <c r="J20" s="8"/>
      <c r="L20" s="17"/>
      <c r="M20" s="8"/>
      <c r="O20" s="17" t="s">
        <v>234</v>
      </c>
      <c r="P20" s="8">
        <v>5</v>
      </c>
      <c r="R20" s="17" t="s">
        <v>239</v>
      </c>
      <c r="S20" s="8">
        <v>-260</v>
      </c>
    </row>
    <row r="21" spans="1:19" x14ac:dyDescent="0.15">
      <c r="A21" s="5"/>
      <c r="B21" s="5"/>
      <c r="C21" s="18"/>
      <c r="D21" s="8"/>
      <c r="F21" s="17"/>
      <c r="G21" s="8"/>
      <c r="I21" s="17"/>
      <c r="J21" s="8"/>
      <c r="L21" s="17"/>
      <c r="M21" s="8"/>
      <c r="O21" s="17"/>
      <c r="P21" s="8"/>
      <c r="R21" s="17" t="s">
        <v>15</v>
      </c>
      <c r="S21" s="8">
        <v>6</v>
      </c>
    </row>
    <row r="22" spans="1:19" x14ac:dyDescent="0.15">
      <c r="A22" s="5">
        <v>43786</v>
      </c>
      <c r="B22" s="5" t="s">
        <v>10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</row>
    <row r="23" spans="1:19" x14ac:dyDescent="0.15">
      <c r="A23" s="5">
        <v>43787</v>
      </c>
      <c r="B23" s="5" t="s">
        <v>5</v>
      </c>
      <c r="C23" s="18"/>
      <c r="D23" s="8"/>
      <c r="F23" s="18"/>
      <c r="G23" s="8"/>
      <c r="I23" s="17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43788</v>
      </c>
      <c r="B24" s="5" t="s">
        <v>4</v>
      </c>
      <c r="C24" s="18"/>
      <c r="D24" s="8"/>
      <c r="F24" s="18"/>
      <c r="G24" s="8"/>
      <c r="I24" s="18" t="s">
        <v>222</v>
      </c>
      <c r="J24" s="8">
        <v>29</v>
      </c>
      <c r="L24" s="18"/>
      <c r="M24" s="8"/>
      <c r="O24" s="18"/>
      <c r="P24" s="8"/>
      <c r="R24" s="18"/>
      <c r="S24" s="8"/>
    </row>
    <row r="25" spans="1:19" x14ac:dyDescent="0.15">
      <c r="A25" s="5">
        <v>43789</v>
      </c>
      <c r="B25" s="5" t="s">
        <v>6</v>
      </c>
      <c r="C25" s="18"/>
      <c r="D25" s="8"/>
      <c r="F25" s="17"/>
      <c r="G25" s="8"/>
      <c r="I25" s="17"/>
      <c r="J25" s="8"/>
      <c r="L25" s="17"/>
      <c r="M25" s="8"/>
      <c r="O25" s="17"/>
      <c r="P25" s="8"/>
      <c r="R25" s="17"/>
      <c r="S25" s="8"/>
    </row>
    <row r="26" spans="1:19" x14ac:dyDescent="0.15">
      <c r="A26" s="5">
        <v>43790</v>
      </c>
      <c r="B26" s="5" t="s">
        <v>7</v>
      </c>
      <c r="C26" s="18"/>
      <c r="D26" s="8"/>
      <c r="F26" s="17"/>
      <c r="G26" s="8"/>
      <c r="I26" s="18"/>
      <c r="J26" s="8"/>
      <c r="L26" s="17"/>
      <c r="M26" s="8"/>
      <c r="O26" s="17" t="s">
        <v>240</v>
      </c>
      <c r="P26" s="8">
        <v>8.5</v>
      </c>
      <c r="R26" s="17" t="s">
        <v>241</v>
      </c>
      <c r="S26" s="8">
        <v>5</v>
      </c>
    </row>
    <row r="27" spans="1:19" x14ac:dyDescent="0.15">
      <c r="A27" s="5"/>
      <c r="B27" s="5"/>
      <c r="C27" s="18"/>
      <c r="D27" s="8"/>
      <c r="F27" s="17"/>
      <c r="G27" s="8"/>
      <c r="I27" s="18"/>
      <c r="J27" s="8"/>
      <c r="L27" s="17"/>
      <c r="M27" s="8"/>
      <c r="O27" s="17" t="s">
        <v>241</v>
      </c>
      <c r="P27" s="8">
        <v>5</v>
      </c>
      <c r="R27" s="17"/>
      <c r="S27" s="8"/>
    </row>
    <row r="28" spans="1:19" x14ac:dyDescent="0.15">
      <c r="A28" s="5">
        <v>43791</v>
      </c>
      <c r="B28" s="5" t="s">
        <v>8</v>
      </c>
      <c r="C28" s="18"/>
      <c r="D28" s="8"/>
      <c r="F28" s="17"/>
      <c r="G28" s="8"/>
      <c r="I28" s="17"/>
      <c r="J28" s="8"/>
      <c r="L28" s="18"/>
      <c r="M28" s="8"/>
      <c r="O28" s="17" t="s">
        <v>65</v>
      </c>
      <c r="P28" s="8">
        <v>-8.5</v>
      </c>
      <c r="R28" s="17"/>
      <c r="S28" s="8"/>
    </row>
    <row r="29" spans="1:19" x14ac:dyDescent="0.15">
      <c r="A29" s="5">
        <v>43792</v>
      </c>
      <c r="B29" s="5" t="s">
        <v>9</v>
      </c>
      <c r="C29" s="18"/>
      <c r="D29" s="8"/>
      <c r="F29" s="17"/>
      <c r="G29" s="8"/>
      <c r="I29" s="17"/>
      <c r="J29" s="8"/>
      <c r="L29" s="18"/>
      <c r="M29" s="8"/>
      <c r="O29" s="17"/>
      <c r="P29" s="8"/>
      <c r="R29" s="17"/>
      <c r="S29" s="8"/>
    </row>
    <row r="30" spans="1:19" x14ac:dyDescent="0.15">
      <c r="A30" s="5">
        <v>43793</v>
      </c>
      <c r="B30" s="5" t="s">
        <v>10</v>
      </c>
      <c r="C30" s="18"/>
      <c r="D30" s="8"/>
      <c r="F30" s="17"/>
      <c r="G30" s="8"/>
      <c r="I30" s="17"/>
      <c r="J30" s="8"/>
      <c r="L30" s="18"/>
      <c r="M30" s="8"/>
      <c r="O30" s="18"/>
      <c r="P30" s="8"/>
      <c r="R30" s="18"/>
      <c r="S30" s="8"/>
    </row>
    <row r="31" spans="1:19" x14ac:dyDescent="0.15">
      <c r="A31" s="5">
        <v>43794</v>
      </c>
      <c r="B31" s="5" t="s">
        <v>5</v>
      </c>
      <c r="C31" s="18"/>
      <c r="D31" s="8"/>
      <c r="F31" s="17"/>
      <c r="G31" s="8"/>
      <c r="I31" s="17"/>
      <c r="J31" s="8"/>
      <c r="L31" s="18"/>
      <c r="M31" s="8"/>
      <c r="O31" s="18"/>
      <c r="P31" s="8"/>
      <c r="R31" s="18"/>
      <c r="S31" s="8"/>
    </row>
    <row r="32" spans="1:19" x14ac:dyDescent="0.15">
      <c r="A32" s="5">
        <v>43795</v>
      </c>
      <c r="B32" s="5" t="s">
        <v>4</v>
      </c>
      <c r="C32" s="18"/>
      <c r="D32" s="8"/>
      <c r="F32" s="17" t="s">
        <v>242</v>
      </c>
      <c r="G32" s="8">
        <v>-794.5</v>
      </c>
      <c r="I32" s="18" t="s">
        <v>222</v>
      </c>
      <c r="J32" s="8">
        <v>40</v>
      </c>
      <c r="L32" s="18"/>
      <c r="M32" s="8"/>
      <c r="O32" s="17"/>
      <c r="P32" s="8"/>
      <c r="R32" s="17" t="s">
        <v>15</v>
      </c>
      <c r="S32" s="8">
        <v>6</v>
      </c>
    </row>
    <row r="33" spans="1:19" x14ac:dyDescent="0.15">
      <c r="A33" s="5">
        <v>43796</v>
      </c>
      <c r="B33" s="5" t="s">
        <v>6</v>
      </c>
      <c r="C33" s="18"/>
      <c r="D33" s="8"/>
      <c r="F33" s="17"/>
      <c r="G33" s="8"/>
      <c r="I33" s="18"/>
      <c r="J33" s="8"/>
      <c r="L33" s="18"/>
      <c r="M33" s="8"/>
      <c r="O33" s="17" t="s">
        <v>110</v>
      </c>
      <c r="P33" s="8">
        <v>17.5</v>
      </c>
      <c r="R33" s="18"/>
      <c r="S33" s="8"/>
    </row>
    <row r="34" spans="1:19" x14ac:dyDescent="0.15">
      <c r="A34" s="5">
        <v>43797</v>
      </c>
      <c r="B34" s="5" t="s">
        <v>7</v>
      </c>
      <c r="C34" s="18"/>
      <c r="D34" s="8"/>
      <c r="F34" s="17"/>
      <c r="G34" s="8"/>
      <c r="I34" s="18"/>
      <c r="J34" s="8"/>
      <c r="L34" s="18"/>
      <c r="M34" s="8"/>
      <c r="O34" s="18"/>
      <c r="P34" s="8"/>
      <c r="R34" s="18"/>
      <c r="S34" s="8"/>
    </row>
    <row r="35" spans="1:19" x14ac:dyDescent="0.15">
      <c r="A35" s="5">
        <v>43798</v>
      </c>
      <c r="B35" s="5" t="s">
        <v>8</v>
      </c>
      <c r="C35" s="18"/>
      <c r="D35" s="8"/>
      <c r="F35" s="17"/>
      <c r="G35" s="8"/>
      <c r="I35" s="18"/>
      <c r="J35" s="8"/>
      <c r="L35" s="18"/>
      <c r="M35" s="8"/>
      <c r="O35" s="17" t="s">
        <v>110</v>
      </c>
      <c r="P35" s="8">
        <v>20</v>
      </c>
      <c r="R35" s="18"/>
      <c r="S35" s="8"/>
    </row>
    <row r="36" spans="1:19" x14ac:dyDescent="0.15">
      <c r="A36" s="5">
        <v>43799</v>
      </c>
      <c r="B36" s="5" t="s">
        <v>9</v>
      </c>
      <c r="C36" s="18"/>
      <c r="D36" s="8"/>
      <c r="F36" s="17"/>
      <c r="G36" s="8"/>
      <c r="I36" s="17"/>
      <c r="J36" s="8"/>
      <c r="L36" s="17" t="s">
        <v>27</v>
      </c>
      <c r="M36" s="8">
        <v>30</v>
      </c>
      <c r="O36" s="17"/>
      <c r="P36" s="8"/>
      <c r="R36" s="18"/>
      <c r="S36" s="8"/>
    </row>
    <row r="37" spans="1:19" x14ac:dyDescent="0.15">
      <c r="A37" s="5"/>
      <c r="B37" s="5"/>
      <c r="F37" s="17"/>
      <c r="I37" s="17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F33" sqref="F33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  <col min="20" max="20" width="3.625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578</v>
      </c>
      <c r="G2" s="43"/>
      <c r="H2" s="14"/>
      <c r="I2" s="42">
        <f>SUM(J:J)</f>
        <v>136</v>
      </c>
      <c r="J2" s="43"/>
      <c r="K2" s="14"/>
      <c r="L2" s="42">
        <f>SUM(M:M)</f>
        <v>9</v>
      </c>
      <c r="M2" s="43"/>
      <c r="O2" s="42">
        <f>SUM(P:P)</f>
        <v>12.5</v>
      </c>
      <c r="P2" s="43"/>
      <c r="R2" s="42">
        <f>SUM(S:S)</f>
        <v>0</v>
      </c>
      <c r="S2" s="43"/>
    </row>
    <row r="3" spans="1:19" x14ac:dyDescent="0.15">
      <c r="A3" s="5">
        <v>43739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43740</v>
      </c>
      <c r="B4" s="5" t="s">
        <v>6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43741</v>
      </c>
      <c r="B5" s="5" t="s">
        <v>7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/>
      <c r="S5" s="8"/>
    </row>
    <row r="6" spans="1:19" x14ac:dyDescent="0.15">
      <c r="A6" s="5">
        <v>43742</v>
      </c>
      <c r="B6" s="5" t="s">
        <v>8</v>
      </c>
      <c r="C6" s="18"/>
      <c r="D6" s="8"/>
      <c r="F6" s="17"/>
      <c r="G6" s="8"/>
      <c r="I6" s="18"/>
      <c r="J6" s="8"/>
      <c r="L6" s="17"/>
      <c r="M6" s="8"/>
      <c r="O6" s="17"/>
      <c r="P6" s="8"/>
      <c r="R6" s="17"/>
      <c r="S6" s="8"/>
    </row>
    <row r="7" spans="1:19" x14ac:dyDescent="0.15">
      <c r="A7" s="5">
        <v>43743</v>
      </c>
      <c r="B7" s="5" t="s">
        <v>9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19" x14ac:dyDescent="0.15">
      <c r="A8" s="5">
        <v>43744</v>
      </c>
      <c r="B8" s="5" t="s">
        <v>10</v>
      </c>
      <c r="C8" s="18"/>
      <c r="D8" s="8"/>
      <c r="F8" s="17"/>
      <c r="G8" s="8"/>
      <c r="I8" s="18"/>
      <c r="J8" s="8"/>
      <c r="L8" s="17"/>
      <c r="M8" s="8"/>
      <c r="O8" s="17"/>
      <c r="P8" s="8"/>
      <c r="R8" s="17"/>
      <c r="S8" s="8"/>
    </row>
    <row r="9" spans="1:19" x14ac:dyDescent="0.15">
      <c r="A9" s="5">
        <v>43745</v>
      </c>
      <c r="B9" s="5" t="s">
        <v>5</v>
      </c>
      <c r="C9" s="18"/>
      <c r="D9" s="8"/>
      <c r="F9" s="17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43746</v>
      </c>
      <c r="B10" s="5" t="s">
        <v>4</v>
      </c>
      <c r="C10" s="18"/>
      <c r="D10" s="8"/>
      <c r="F10" s="17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43747</v>
      </c>
      <c r="B11" s="5" t="s">
        <v>6</v>
      </c>
      <c r="C11" s="18"/>
      <c r="D11" s="8"/>
      <c r="F11" s="17"/>
      <c r="G11" s="8"/>
      <c r="I11" s="18"/>
      <c r="J11" s="8"/>
      <c r="L11" s="17"/>
      <c r="M11" s="8"/>
      <c r="O11" s="17" t="s">
        <v>227</v>
      </c>
      <c r="P11" s="8">
        <v>7.5</v>
      </c>
      <c r="R11" s="17"/>
      <c r="S11" s="8"/>
    </row>
    <row r="12" spans="1:19" x14ac:dyDescent="0.15">
      <c r="A12" s="5">
        <v>43748</v>
      </c>
      <c r="B12" s="5" t="s">
        <v>7</v>
      </c>
      <c r="C12" s="18"/>
      <c r="D12" s="8"/>
      <c r="F12" s="17" t="s">
        <v>228</v>
      </c>
      <c r="G12" s="8">
        <v>102</v>
      </c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43749</v>
      </c>
      <c r="B13" s="5" t="s">
        <v>8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43750</v>
      </c>
      <c r="B14" s="5" t="s">
        <v>9</v>
      </c>
      <c r="C14" s="18"/>
      <c r="D14" s="8"/>
      <c r="F14" s="17"/>
      <c r="G14" s="8"/>
      <c r="I14" s="17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43751</v>
      </c>
      <c r="B15" s="5" t="s">
        <v>10</v>
      </c>
      <c r="C15" s="18"/>
      <c r="D15" s="8"/>
      <c r="F15" s="17"/>
      <c r="G15" s="8"/>
      <c r="I15" s="18"/>
      <c r="J15" s="8"/>
      <c r="L15" s="17"/>
      <c r="M15" s="8"/>
      <c r="O15" s="17"/>
      <c r="P15" s="8"/>
      <c r="R15" s="17"/>
      <c r="S15" s="8"/>
    </row>
    <row r="16" spans="1:19" x14ac:dyDescent="0.15">
      <c r="A16" s="5">
        <v>43752</v>
      </c>
      <c r="B16" s="5" t="s">
        <v>5</v>
      </c>
      <c r="C16" s="18"/>
      <c r="D16" s="8"/>
      <c r="F16" s="17" t="s">
        <v>230</v>
      </c>
      <c r="G16" s="8">
        <v>38</v>
      </c>
      <c r="I16" s="17" t="s">
        <v>230</v>
      </c>
      <c r="J16" s="8">
        <v>38</v>
      </c>
      <c r="L16" s="17"/>
      <c r="M16" s="8"/>
      <c r="O16" s="17"/>
      <c r="P16" s="8"/>
      <c r="R16" s="17"/>
      <c r="S16" s="8"/>
    </row>
    <row r="17" spans="1:19" x14ac:dyDescent="0.15">
      <c r="A17" s="5">
        <v>43753</v>
      </c>
      <c r="B17" s="5" t="s">
        <v>4</v>
      </c>
      <c r="C17" s="18"/>
      <c r="D17" s="8"/>
      <c r="F17" s="17"/>
      <c r="G17" s="8"/>
      <c r="I17" s="17"/>
      <c r="J17" s="8"/>
      <c r="L17" s="17" t="s">
        <v>229</v>
      </c>
      <c r="M17" s="8">
        <v>9</v>
      </c>
      <c r="O17" s="17"/>
      <c r="P17" s="8"/>
      <c r="R17" s="17"/>
      <c r="S17" s="8"/>
    </row>
    <row r="18" spans="1:19" x14ac:dyDescent="0.15">
      <c r="A18" s="5">
        <v>43754</v>
      </c>
      <c r="B18" s="5" t="s">
        <v>6</v>
      </c>
      <c r="C18" s="18"/>
      <c r="D18" s="8"/>
      <c r="F18" s="17" t="s">
        <v>222</v>
      </c>
      <c r="G18" s="8">
        <v>32</v>
      </c>
      <c r="I18" s="17" t="s">
        <v>222</v>
      </c>
      <c r="J18" s="8">
        <v>32</v>
      </c>
      <c r="L18" s="17"/>
      <c r="M18" s="8"/>
      <c r="O18" s="17" t="s">
        <v>231</v>
      </c>
      <c r="P18" s="8">
        <v>5</v>
      </c>
      <c r="R18" s="17"/>
      <c r="S18" s="8"/>
    </row>
    <row r="19" spans="1:19" x14ac:dyDescent="0.15">
      <c r="A19" s="5">
        <v>43755</v>
      </c>
      <c r="B19" s="5" t="s">
        <v>7</v>
      </c>
      <c r="C19" s="18"/>
      <c r="D19" s="8"/>
      <c r="F19" s="17"/>
      <c r="G19" s="8"/>
      <c r="I19" s="17"/>
      <c r="J19" s="8"/>
      <c r="L19" s="17"/>
      <c r="M19" s="8"/>
      <c r="O19" s="17"/>
      <c r="P19" s="8"/>
      <c r="R19" s="17"/>
      <c r="S19" s="8"/>
    </row>
    <row r="20" spans="1:19" x14ac:dyDescent="0.15">
      <c r="A20" s="5">
        <v>43756</v>
      </c>
      <c r="B20" s="5" t="s">
        <v>8</v>
      </c>
      <c r="C20" s="18"/>
      <c r="D20" s="8"/>
      <c r="F20" s="18"/>
      <c r="G20" s="8"/>
      <c r="I20" s="17"/>
      <c r="J20" s="8"/>
      <c r="L20" s="17"/>
      <c r="M20" s="8"/>
      <c r="O20" s="17"/>
      <c r="P20" s="8"/>
      <c r="R20" s="17"/>
      <c r="S20" s="8"/>
    </row>
    <row r="21" spans="1:19" x14ac:dyDescent="0.15">
      <c r="A21" s="5">
        <v>43757</v>
      </c>
      <c r="B21" s="5" t="s">
        <v>9</v>
      </c>
      <c r="C21" s="18"/>
      <c r="D21" s="8"/>
      <c r="F21" s="18"/>
      <c r="G21" s="8"/>
      <c r="I21" s="18"/>
      <c r="J21" s="8"/>
      <c r="L21" s="18"/>
      <c r="M21" s="8"/>
      <c r="O21" s="18"/>
      <c r="P21" s="8"/>
      <c r="R21" s="18"/>
      <c r="S21" s="8"/>
    </row>
    <row r="22" spans="1:19" x14ac:dyDescent="0.15">
      <c r="A22" s="5">
        <v>43758</v>
      </c>
      <c r="B22" s="5" t="s">
        <v>10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</row>
    <row r="23" spans="1:19" x14ac:dyDescent="0.15">
      <c r="A23" s="5">
        <v>43759</v>
      </c>
      <c r="B23" s="5" t="s">
        <v>5</v>
      </c>
      <c r="C23" s="18"/>
      <c r="D23" s="8"/>
      <c r="F23" s="17"/>
      <c r="G23" s="8"/>
      <c r="I23" s="18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43760</v>
      </c>
      <c r="B24" s="5" t="s">
        <v>4</v>
      </c>
      <c r="C24" s="18"/>
      <c r="D24" s="8"/>
      <c r="F24" s="17" t="s">
        <v>232</v>
      </c>
      <c r="G24" s="8">
        <v>174</v>
      </c>
      <c r="I24" s="17"/>
      <c r="J24" s="8"/>
      <c r="L24" s="18"/>
      <c r="M24" s="8"/>
      <c r="O24" s="17"/>
      <c r="P24" s="8"/>
      <c r="R24" s="17"/>
      <c r="S24" s="8"/>
    </row>
    <row r="25" spans="1:19" x14ac:dyDescent="0.15">
      <c r="A25" s="5">
        <v>43761</v>
      </c>
      <c r="B25" s="5" t="s">
        <v>6</v>
      </c>
      <c r="C25" s="18"/>
      <c r="D25" s="8"/>
      <c r="F25" s="17" t="s">
        <v>27</v>
      </c>
      <c r="G25" s="8">
        <v>106</v>
      </c>
      <c r="I25" s="17"/>
      <c r="J25" s="8"/>
      <c r="L25" s="18"/>
      <c r="M25" s="8"/>
      <c r="O25" s="17"/>
      <c r="P25" s="8"/>
      <c r="R25" s="17"/>
      <c r="S25" s="8"/>
    </row>
    <row r="26" spans="1:19" x14ac:dyDescent="0.15">
      <c r="A26" s="5">
        <v>43762</v>
      </c>
      <c r="B26" s="5" t="s">
        <v>7</v>
      </c>
      <c r="C26" s="18"/>
      <c r="D26" s="8"/>
      <c r="F26" s="17" t="s">
        <v>27</v>
      </c>
      <c r="G26" s="8">
        <v>148</v>
      </c>
      <c r="I26" s="17" t="s">
        <v>222</v>
      </c>
      <c r="J26" s="8">
        <v>36</v>
      </c>
      <c r="L26" s="18"/>
      <c r="M26" s="8"/>
      <c r="O26" s="18"/>
      <c r="P26" s="8"/>
      <c r="R26" s="18"/>
      <c r="S26" s="8"/>
    </row>
    <row r="27" spans="1:19" x14ac:dyDescent="0.15">
      <c r="A27" s="5">
        <v>43763</v>
      </c>
      <c r="B27" s="5" t="s">
        <v>8</v>
      </c>
      <c r="C27" s="18"/>
      <c r="D27" s="8"/>
      <c r="F27" s="17"/>
      <c r="G27" s="8"/>
      <c r="I27" s="17"/>
      <c r="J27" s="8"/>
      <c r="L27" s="18"/>
      <c r="M27" s="8"/>
      <c r="O27" s="18"/>
      <c r="P27" s="8"/>
      <c r="R27" s="18"/>
      <c r="S27" s="8"/>
    </row>
    <row r="28" spans="1:19" x14ac:dyDescent="0.15">
      <c r="A28" s="5">
        <v>43764</v>
      </c>
      <c r="B28" s="5" t="s">
        <v>9</v>
      </c>
      <c r="C28" s="18"/>
      <c r="D28" s="8"/>
      <c r="F28" s="17"/>
      <c r="G28" s="8"/>
      <c r="I28" s="18"/>
      <c r="J28" s="8"/>
      <c r="L28" s="18"/>
      <c r="M28" s="8"/>
      <c r="O28" s="17"/>
      <c r="P28" s="8"/>
      <c r="R28" s="17"/>
      <c r="S28" s="8"/>
    </row>
    <row r="29" spans="1:19" x14ac:dyDescent="0.15">
      <c r="A29" s="5">
        <v>43765</v>
      </c>
      <c r="B29" s="5" t="s">
        <v>10</v>
      </c>
      <c r="C29" s="18"/>
      <c r="D29" s="8"/>
      <c r="F29" s="17"/>
      <c r="G29" s="8"/>
      <c r="I29" s="18"/>
      <c r="J29" s="8"/>
      <c r="L29" s="18"/>
      <c r="M29" s="8"/>
      <c r="O29" s="17"/>
      <c r="P29" s="8"/>
      <c r="R29" s="18"/>
      <c r="S29" s="8"/>
    </row>
    <row r="30" spans="1:19" x14ac:dyDescent="0.15">
      <c r="A30" s="5">
        <v>43766</v>
      </c>
      <c r="B30" s="5" t="s">
        <v>5</v>
      </c>
      <c r="C30" s="18"/>
      <c r="D30" s="8"/>
      <c r="F30" s="17" t="s">
        <v>233</v>
      </c>
      <c r="G30" s="8">
        <v>-52</v>
      </c>
      <c r="I30" s="18"/>
      <c r="J30" s="8"/>
      <c r="L30" s="18"/>
      <c r="M30" s="8"/>
      <c r="O30" s="18"/>
      <c r="P30" s="8"/>
      <c r="R30" s="18"/>
      <c r="S30" s="8"/>
    </row>
    <row r="31" spans="1:19" x14ac:dyDescent="0.15">
      <c r="A31" s="5">
        <v>43767</v>
      </c>
      <c r="B31" s="5" t="s">
        <v>4</v>
      </c>
      <c r="C31" s="18"/>
      <c r="D31" s="8"/>
      <c r="F31" s="17"/>
      <c r="G31" s="8"/>
      <c r="I31" s="18"/>
      <c r="J31" s="8"/>
      <c r="L31" s="18"/>
      <c r="M31" s="8"/>
      <c r="O31" s="18"/>
      <c r="P31" s="8"/>
      <c r="R31" s="18"/>
      <c r="S31" s="8"/>
    </row>
    <row r="32" spans="1:19" x14ac:dyDescent="0.15">
      <c r="A32" s="5">
        <v>43768</v>
      </c>
      <c r="B32" s="5" t="s">
        <v>226</v>
      </c>
      <c r="C32" s="18"/>
      <c r="D32" s="8"/>
      <c r="F32" s="17"/>
      <c r="G32" s="8"/>
      <c r="I32" s="17"/>
      <c r="J32" s="8"/>
      <c r="L32" s="18"/>
      <c r="M32" s="8"/>
      <c r="O32" s="17"/>
      <c r="P32" s="8"/>
      <c r="R32" s="18"/>
      <c r="S32" s="8"/>
    </row>
    <row r="33" spans="1:10" x14ac:dyDescent="0.15">
      <c r="A33" s="5">
        <v>43769</v>
      </c>
      <c r="B33" s="5" t="s">
        <v>7</v>
      </c>
      <c r="F33" s="17" t="s">
        <v>27</v>
      </c>
      <c r="G33">
        <v>30</v>
      </c>
      <c r="I33" s="17" t="s">
        <v>27</v>
      </c>
      <c r="J33">
        <v>30</v>
      </c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L48" sqref="L48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SUM(D3:D32)</f>
        <v>0</v>
      </c>
      <c r="D2" s="43"/>
      <c r="E2" s="3"/>
      <c r="F2" s="42">
        <f>SUM(G:G)</f>
        <v>-44</v>
      </c>
      <c r="G2" s="43"/>
      <c r="H2" s="14"/>
      <c r="I2" s="42">
        <f>SUM(J:J)</f>
        <v>56</v>
      </c>
      <c r="J2" s="43"/>
      <c r="K2" s="14"/>
      <c r="L2" s="42">
        <f>SUM(M:M)</f>
        <v>0</v>
      </c>
      <c r="M2" s="43"/>
      <c r="O2" s="42">
        <f>SUM(P:P)</f>
        <v>73.599999999999994</v>
      </c>
      <c r="P2" s="43"/>
      <c r="R2" s="42">
        <f>SUM(S:S)</f>
        <v>20</v>
      </c>
      <c r="S2" s="43"/>
    </row>
    <row r="3" spans="1:19" x14ac:dyDescent="0.15">
      <c r="A3" s="5">
        <v>43709</v>
      </c>
      <c r="B3" s="5" t="s">
        <v>10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43710</v>
      </c>
      <c r="B4" s="5" t="s">
        <v>5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43711</v>
      </c>
      <c r="B5" s="5" t="s">
        <v>4</v>
      </c>
      <c r="C5" s="18"/>
      <c r="D5" s="8"/>
      <c r="F5" s="17" t="s">
        <v>222</v>
      </c>
      <c r="G5" s="8">
        <v>28</v>
      </c>
      <c r="I5" s="17" t="s">
        <v>222</v>
      </c>
      <c r="J5" s="8">
        <v>28</v>
      </c>
      <c r="L5" s="17"/>
      <c r="M5" s="8"/>
      <c r="O5" s="17"/>
      <c r="P5" s="8"/>
      <c r="R5" s="17"/>
      <c r="S5" s="8"/>
    </row>
    <row r="6" spans="1:19" x14ac:dyDescent="0.15">
      <c r="A6" s="5">
        <v>43712</v>
      </c>
      <c r="B6" s="5" t="s">
        <v>6</v>
      </c>
      <c r="C6" s="18"/>
      <c r="D6" s="8"/>
      <c r="F6" s="17"/>
      <c r="G6" s="8"/>
      <c r="I6" s="18"/>
      <c r="J6" s="8"/>
      <c r="L6" s="17"/>
      <c r="M6" s="8"/>
      <c r="O6" s="17"/>
      <c r="P6" s="8"/>
      <c r="R6" s="17"/>
      <c r="S6" s="8"/>
    </row>
    <row r="7" spans="1:19" x14ac:dyDescent="0.15">
      <c r="A7" s="5">
        <v>43713</v>
      </c>
      <c r="B7" s="5" t="s">
        <v>7</v>
      </c>
      <c r="C7" s="18"/>
      <c r="D7" s="8"/>
      <c r="F7" s="17"/>
      <c r="G7" s="8"/>
      <c r="I7" s="17"/>
      <c r="J7" s="8"/>
      <c r="L7" s="17"/>
      <c r="M7" s="8"/>
      <c r="O7" s="17"/>
      <c r="P7" s="8"/>
      <c r="R7" s="17"/>
      <c r="S7" s="8"/>
    </row>
    <row r="8" spans="1:19" x14ac:dyDescent="0.15">
      <c r="A8" s="5">
        <v>43714</v>
      </c>
      <c r="B8" s="5" t="s">
        <v>8</v>
      </c>
      <c r="C8" s="18"/>
      <c r="D8" s="8"/>
      <c r="F8" s="17"/>
      <c r="G8" s="8"/>
      <c r="I8" s="18"/>
      <c r="J8" s="8"/>
      <c r="L8" s="17"/>
      <c r="M8" s="8"/>
      <c r="O8" s="17"/>
      <c r="P8" s="8"/>
      <c r="R8" s="17"/>
      <c r="S8" s="8"/>
    </row>
    <row r="9" spans="1:19" x14ac:dyDescent="0.15">
      <c r="A9" s="5">
        <v>43715</v>
      </c>
      <c r="B9" s="5" t="s">
        <v>9</v>
      </c>
      <c r="C9" s="18"/>
      <c r="D9" s="8"/>
      <c r="F9" s="17"/>
      <c r="G9" s="8"/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43716</v>
      </c>
      <c r="B10" s="5" t="s">
        <v>10</v>
      </c>
      <c r="C10" s="18"/>
      <c r="D10" s="8"/>
      <c r="F10" s="17"/>
      <c r="G10" s="8"/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43717</v>
      </c>
      <c r="B11" s="5" t="s">
        <v>5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43718</v>
      </c>
      <c r="B12" s="5" t="s">
        <v>4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43719</v>
      </c>
      <c r="B13" s="5" t="s">
        <v>6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43720</v>
      </c>
      <c r="B14" s="5" t="s">
        <v>7</v>
      </c>
      <c r="C14" s="18"/>
      <c r="D14" s="8"/>
      <c r="F14" s="17"/>
      <c r="G14" s="8"/>
      <c r="I14" s="17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43721</v>
      </c>
      <c r="B15" s="5" t="s">
        <v>8</v>
      </c>
      <c r="C15" s="18"/>
      <c r="D15" s="8"/>
      <c r="F15" s="17"/>
      <c r="G15" s="8"/>
      <c r="I15" s="18"/>
      <c r="J15" s="8"/>
      <c r="L15" s="17"/>
      <c r="M15" s="8"/>
      <c r="O15" s="17"/>
      <c r="P15" s="8"/>
      <c r="R15" s="17"/>
      <c r="S15" s="8"/>
    </row>
    <row r="16" spans="1:19" x14ac:dyDescent="0.15">
      <c r="A16" s="5">
        <v>43722</v>
      </c>
      <c r="B16" s="5" t="s">
        <v>9</v>
      </c>
      <c r="C16" s="18"/>
      <c r="D16" s="8"/>
      <c r="F16" s="17"/>
      <c r="G16" s="8"/>
      <c r="I16" s="17"/>
      <c r="J16" s="8"/>
      <c r="L16" s="17"/>
      <c r="M16" s="8"/>
      <c r="O16" s="17"/>
      <c r="P16" s="8"/>
      <c r="R16" s="17"/>
      <c r="S16" s="8"/>
    </row>
    <row r="17" spans="1:19" x14ac:dyDescent="0.15">
      <c r="A17" s="5">
        <v>43723</v>
      </c>
      <c r="B17" s="5" t="s">
        <v>10</v>
      </c>
      <c r="C17" s="18"/>
      <c r="D17" s="8"/>
      <c r="F17" s="17"/>
      <c r="G17" s="8"/>
      <c r="I17" s="17"/>
      <c r="J17" s="8"/>
      <c r="L17" s="17"/>
      <c r="M17" s="8"/>
      <c r="O17" s="17"/>
      <c r="P17" s="8"/>
      <c r="R17" s="17"/>
      <c r="S17" s="8"/>
    </row>
    <row r="18" spans="1:19" x14ac:dyDescent="0.15">
      <c r="A18" s="5">
        <v>43724</v>
      </c>
      <c r="B18" s="5" t="s">
        <v>5</v>
      </c>
      <c r="C18" s="18"/>
      <c r="D18" s="8"/>
      <c r="F18" s="17" t="s">
        <v>222</v>
      </c>
      <c r="G18" s="8">
        <v>28</v>
      </c>
      <c r="I18" s="17" t="s">
        <v>222</v>
      </c>
      <c r="J18" s="8">
        <v>28</v>
      </c>
      <c r="L18" s="17"/>
      <c r="M18" s="8"/>
      <c r="O18" s="17"/>
      <c r="P18" s="8"/>
      <c r="R18" s="17"/>
      <c r="S18" s="8"/>
    </row>
    <row r="19" spans="1:19" x14ac:dyDescent="0.15">
      <c r="A19" s="5">
        <v>43725</v>
      </c>
      <c r="B19" s="5" t="s">
        <v>4</v>
      </c>
      <c r="C19" s="18"/>
      <c r="D19" s="8"/>
      <c r="F19" s="17"/>
      <c r="G19" s="8"/>
      <c r="I19" s="17"/>
      <c r="J19" s="8"/>
      <c r="L19" s="17"/>
      <c r="M19" s="8"/>
      <c r="O19" s="17"/>
      <c r="P19" s="8"/>
      <c r="R19" s="17"/>
      <c r="S19" s="8"/>
    </row>
    <row r="20" spans="1:19" x14ac:dyDescent="0.15">
      <c r="A20" s="5">
        <v>43726</v>
      </c>
      <c r="B20" s="5" t="s">
        <v>6</v>
      </c>
      <c r="C20" s="18"/>
      <c r="D20" s="8"/>
      <c r="F20" s="18" t="s">
        <v>223</v>
      </c>
      <c r="G20" s="8">
        <v>-100</v>
      </c>
      <c r="I20" s="17"/>
      <c r="J20" s="8"/>
      <c r="L20" s="17"/>
      <c r="M20" s="8"/>
      <c r="O20" s="17"/>
      <c r="P20" s="8"/>
      <c r="R20" s="17"/>
      <c r="S20" s="8"/>
    </row>
    <row r="21" spans="1:19" x14ac:dyDescent="0.15">
      <c r="A21" s="5">
        <v>43727</v>
      </c>
      <c r="B21" s="5" t="s">
        <v>7</v>
      </c>
      <c r="C21" s="18"/>
      <c r="D21" s="8"/>
      <c r="F21" s="18"/>
      <c r="G21" s="8"/>
      <c r="I21" s="18"/>
      <c r="J21" s="8"/>
      <c r="L21" s="18"/>
      <c r="M21" s="8"/>
      <c r="O21" s="18"/>
      <c r="P21" s="8"/>
      <c r="R21" s="18"/>
      <c r="S21" s="8"/>
    </row>
    <row r="22" spans="1:19" x14ac:dyDescent="0.15">
      <c r="A22" s="5">
        <v>43728</v>
      </c>
      <c r="B22" s="5" t="s">
        <v>8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</row>
    <row r="23" spans="1:19" x14ac:dyDescent="0.15">
      <c r="A23" s="5">
        <v>43729</v>
      </c>
      <c r="B23" s="5" t="s">
        <v>9</v>
      </c>
      <c r="C23" s="18"/>
      <c r="D23" s="8"/>
      <c r="F23" s="17"/>
      <c r="G23" s="8"/>
      <c r="I23" s="18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43730</v>
      </c>
      <c r="B24" s="5" t="s">
        <v>10</v>
      </c>
      <c r="C24" s="18"/>
      <c r="D24" s="8"/>
      <c r="F24" s="17"/>
      <c r="G24" s="8"/>
      <c r="I24" s="17"/>
      <c r="J24" s="8"/>
      <c r="L24" s="18"/>
      <c r="M24" s="8"/>
      <c r="O24" s="17"/>
      <c r="P24" s="8"/>
      <c r="R24" s="17"/>
      <c r="S24" s="8"/>
    </row>
    <row r="25" spans="1:19" x14ac:dyDescent="0.15">
      <c r="A25" s="5">
        <v>43731</v>
      </c>
      <c r="B25" s="5" t="s">
        <v>5</v>
      </c>
      <c r="C25" s="18"/>
      <c r="D25" s="8"/>
      <c r="F25" s="17"/>
      <c r="G25" s="8"/>
      <c r="I25" s="17"/>
      <c r="J25" s="8"/>
      <c r="L25" s="18"/>
      <c r="M25" s="8"/>
      <c r="O25" s="17"/>
      <c r="P25" s="8"/>
      <c r="R25" s="17"/>
      <c r="S25" s="8"/>
    </row>
    <row r="26" spans="1:19" x14ac:dyDescent="0.15">
      <c r="A26" s="5">
        <v>43732</v>
      </c>
      <c r="B26" s="5" t="s">
        <v>4</v>
      </c>
      <c r="C26" s="18"/>
      <c r="D26" s="8"/>
      <c r="F26" s="17"/>
      <c r="G26" s="8"/>
      <c r="I26" s="17"/>
      <c r="J26" s="8"/>
      <c r="L26" s="18"/>
      <c r="M26" s="8"/>
      <c r="O26" s="18"/>
      <c r="P26" s="8"/>
      <c r="R26" s="18"/>
      <c r="S26" s="8"/>
    </row>
    <row r="27" spans="1:19" x14ac:dyDescent="0.15">
      <c r="A27" s="5">
        <v>43733</v>
      </c>
      <c r="B27" s="5" t="s">
        <v>6</v>
      </c>
      <c r="C27" s="18"/>
      <c r="D27" s="8"/>
      <c r="F27" s="17"/>
      <c r="G27" s="8"/>
      <c r="I27" s="17"/>
      <c r="J27" s="8"/>
      <c r="L27" s="18"/>
      <c r="M27" s="8"/>
      <c r="O27" s="18" t="s">
        <v>224</v>
      </c>
      <c r="P27" s="8">
        <v>13.6</v>
      </c>
      <c r="R27" s="18"/>
      <c r="S27" s="8"/>
    </row>
    <row r="28" spans="1:19" x14ac:dyDescent="0.15">
      <c r="A28" s="5">
        <v>43734</v>
      </c>
      <c r="B28" s="5" t="s">
        <v>7</v>
      </c>
      <c r="C28" s="18"/>
      <c r="D28" s="8"/>
      <c r="F28" s="17"/>
      <c r="G28" s="8"/>
      <c r="I28" s="18"/>
      <c r="J28" s="8"/>
      <c r="L28" s="18"/>
      <c r="M28" s="8"/>
      <c r="O28" s="17" t="s">
        <v>225</v>
      </c>
      <c r="P28" s="8">
        <v>20</v>
      </c>
      <c r="R28" s="17" t="s">
        <v>225</v>
      </c>
      <c r="S28" s="8">
        <v>20</v>
      </c>
    </row>
    <row r="29" spans="1:19" x14ac:dyDescent="0.15">
      <c r="A29" s="5">
        <v>43735</v>
      </c>
      <c r="B29" s="5" t="s">
        <v>8</v>
      </c>
      <c r="C29" s="18"/>
      <c r="D29" s="8"/>
      <c r="F29" s="17"/>
      <c r="G29" s="8"/>
      <c r="I29" s="18"/>
      <c r="J29" s="8"/>
      <c r="L29" s="18"/>
      <c r="M29" s="8"/>
      <c r="O29" s="17" t="s">
        <v>136</v>
      </c>
      <c r="P29" s="8">
        <v>20</v>
      </c>
      <c r="R29" s="18"/>
      <c r="S29" s="8"/>
    </row>
    <row r="30" spans="1:19" x14ac:dyDescent="0.15">
      <c r="A30" s="5">
        <v>43736</v>
      </c>
      <c r="B30" s="5" t="s">
        <v>9</v>
      </c>
      <c r="C30" s="18"/>
      <c r="D30" s="8"/>
      <c r="F30" s="17"/>
      <c r="G30" s="8"/>
      <c r="I30" s="18"/>
      <c r="J30" s="8"/>
      <c r="L30" s="18"/>
      <c r="M30" s="8"/>
      <c r="O30" s="18"/>
      <c r="P30" s="8"/>
      <c r="R30" s="18"/>
      <c r="S30" s="8"/>
    </row>
    <row r="31" spans="1:19" x14ac:dyDescent="0.15">
      <c r="A31" s="5">
        <v>43737</v>
      </c>
      <c r="B31" s="5" t="s">
        <v>10</v>
      </c>
      <c r="C31" s="18"/>
      <c r="D31" s="8"/>
      <c r="F31" s="17"/>
      <c r="G31" s="8"/>
      <c r="I31" s="18"/>
      <c r="J31" s="8"/>
      <c r="L31" s="18"/>
      <c r="M31" s="8"/>
      <c r="O31" s="18"/>
      <c r="P31" s="8"/>
      <c r="R31" s="18"/>
      <c r="S31" s="8"/>
    </row>
    <row r="32" spans="1:19" x14ac:dyDescent="0.15">
      <c r="A32" s="5">
        <v>43738</v>
      </c>
      <c r="B32" s="5" t="s">
        <v>5</v>
      </c>
      <c r="C32" s="18"/>
      <c r="D32" s="8"/>
      <c r="F32" s="17"/>
      <c r="G32" s="8"/>
      <c r="I32" s="17"/>
      <c r="J32" s="8"/>
      <c r="L32" s="18"/>
      <c r="M32" s="8"/>
      <c r="O32" s="17" t="s">
        <v>109</v>
      </c>
      <c r="P32" s="8">
        <v>20</v>
      </c>
      <c r="R32" s="18"/>
      <c r="S32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O35" sqref="O35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SUM(G:G)</f>
        <v>-387.3</v>
      </c>
      <c r="G2" s="43"/>
      <c r="H2" s="14"/>
      <c r="I2" s="42">
        <f>SUM(J:J)</f>
        <v>-123</v>
      </c>
      <c r="J2" s="43"/>
      <c r="K2" s="14"/>
      <c r="L2" s="42">
        <f>SUM(M:M)</f>
        <v>-60</v>
      </c>
      <c r="M2" s="43"/>
      <c r="O2" s="42">
        <f>SUM(P:P)</f>
        <v>-186.5</v>
      </c>
      <c r="P2" s="43"/>
      <c r="R2" s="42">
        <f>SUM(S:S)</f>
        <v>0</v>
      </c>
      <c r="S2" s="43"/>
    </row>
    <row r="3" spans="1:19" x14ac:dyDescent="0.15">
      <c r="A3" s="5">
        <v>43678</v>
      </c>
      <c r="B3" s="5" t="s">
        <v>7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43679</v>
      </c>
      <c r="B4" s="5" t="s">
        <v>8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43680</v>
      </c>
      <c r="B5" s="5" t="s">
        <v>9</v>
      </c>
      <c r="C5" s="18"/>
      <c r="D5" s="8"/>
      <c r="F5" s="17"/>
      <c r="G5" s="8"/>
      <c r="I5" s="17"/>
      <c r="J5" s="8"/>
      <c r="L5" s="17"/>
      <c r="M5" s="8"/>
      <c r="O5" s="17"/>
      <c r="P5" s="8"/>
      <c r="R5" s="17"/>
      <c r="S5" s="8"/>
    </row>
    <row r="6" spans="1:19" x14ac:dyDescent="0.15">
      <c r="A6" s="5">
        <v>43681</v>
      </c>
      <c r="B6" s="5" t="s">
        <v>10</v>
      </c>
      <c r="C6" s="18"/>
      <c r="D6" s="8"/>
      <c r="F6" s="17"/>
      <c r="G6" s="8"/>
      <c r="I6" s="18"/>
      <c r="J6" s="8"/>
      <c r="L6" s="17"/>
      <c r="M6" s="8"/>
      <c r="O6" s="17"/>
      <c r="P6" s="8"/>
      <c r="R6" s="17"/>
      <c r="S6" s="8"/>
    </row>
    <row r="7" spans="1:19" x14ac:dyDescent="0.15">
      <c r="A7" s="5">
        <v>43682</v>
      </c>
      <c r="B7" s="5" t="s">
        <v>5</v>
      </c>
      <c r="C7" s="18"/>
      <c r="D7" s="8"/>
      <c r="F7" s="17" t="s">
        <v>27</v>
      </c>
      <c r="G7" s="8">
        <f>-45-26.3</f>
        <v>-71.3</v>
      </c>
      <c r="I7" s="17"/>
      <c r="J7" s="8"/>
      <c r="L7" s="17"/>
      <c r="M7" s="8"/>
      <c r="O7" s="17" t="s">
        <v>213</v>
      </c>
      <c r="P7" s="8">
        <f>90*3</f>
        <v>270</v>
      </c>
      <c r="R7" s="17"/>
      <c r="S7" s="8"/>
    </row>
    <row r="8" spans="1:19" x14ac:dyDescent="0.15">
      <c r="A8" s="5">
        <v>43683</v>
      </c>
      <c r="B8" s="5" t="s">
        <v>4</v>
      </c>
      <c r="C8" s="18"/>
      <c r="D8" s="8"/>
      <c r="F8" s="17"/>
      <c r="G8" s="8"/>
      <c r="I8" s="18"/>
      <c r="J8" s="8"/>
      <c r="L8" s="17"/>
      <c r="M8" s="8"/>
      <c r="O8" s="17" t="s">
        <v>15</v>
      </c>
      <c r="P8" s="8">
        <v>6</v>
      </c>
      <c r="R8" s="17"/>
      <c r="S8" s="8"/>
    </row>
    <row r="9" spans="1:19" x14ac:dyDescent="0.15">
      <c r="A9" s="5">
        <v>43684</v>
      </c>
      <c r="B9" s="5" t="s">
        <v>6</v>
      </c>
      <c r="C9" s="18"/>
      <c r="D9" s="8"/>
      <c r="F9" s="17" t="s">
        <v>15</v>
      </c>
      <c r="G9" s="8">
        <v>6</v>
      </c>
      <c r="I9" s="18"/>
      <c r="J9" s="8"/>
      <c r="L9" s="17"/>
      <c r="M9" s="8"/>
      <c r="O9" s="17" t="s">
        <v>15</v>
      </c>
      <c r="P9" s="8">
        <v>6</v>
      </c>
      <c r="R9" s="17"/>
      <c r="S9" s="8"/>
    </row>
    <row r="10" spans="1:19" x14ac:dyDescent="0.15">
      <c r="A10" s="5">
        <v>43685</v>
      </c>
      <c r="B10" s="5" t="s">
        <v>7</v>
      </c>
      <c r="C10" s="18"/>
      <c r="D10" s="8"/>
      <c r="F10" s="17"/>
      <c r="G10" s="8"/>
      <c r="I10" s="18"/>
      <c r="J10" s="8"/>
      <c r="L10" s="17"/>
      <c r="M10" s="8"/>
      <c r="O10" s="17" t="s">
        <v>15</v>
      </c>
      <c r="P10" s="8">
        <v>-6</v>
      </c>
      <c r="R10" s="17"/>
      <c r="S10" s="8"/>
    </row>
    <row r="11" spans="1:19" x14ac:dyDescent="0.15">
      <c r="A11" s="5">
        <v>43686</v>
      </c>
      <c r="B11" s="5" t="s">
        <v>8</v>
      </c>
      <c r="C11" s="18"/>
      <c r="D11" s="8"/>
      <c r="F11" s="17"/>
      <c r="G11" s="8"/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43687</v>
      </c>
      <c r="B12" s="5" t="s">
        <v>9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43688</v>
      </c>
      <c r="B13" s="5" t="s">
        <v>10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43689</v>
      </c>
      <c r="B14" s="5" t="s">
        <v>5</v>
      </c>
      <c r="C14" s="18"/>
      <c r="D14" s="8"/>
      <c r="F14" s="17"/>
      <c r="G14" s="8"/>
      <c r="I14" s="17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43690</v>
      </c>
      <c r="B15" s="5" t="s">
        <v>4</v>
      </c>
      <c r="C15" s="18"/>
      <c r="D15" s="8"/>
      <c r="F15" s="17"/>
      <c r="G15" s="8"/>
      <c r="I15" s="18"/>
      <c r="J15" s="8"/>
      <c r="L15" s="17"/>
      <c r="M15" s="8"/>
      <c r="O15" s="17"/>
      <c r="P15" s="8"/>
      <c r="R15" s="17"/>
      <c r="S15" s="8"/>
    </row>
    <row r="16" spans="1:19" x14ac:dyDescent="0.15">
      <c r="A16" s="5">
        <v>43691</v>
      </c>
      <c r="B16" s="5" t="s">
        <v>6</v>
      </c>
      <c r="C16" s="18"/>
      <c r="D16" s="8"/>
      <c r="F16" s="17"/>
      <c r="G16" s="8"/>
      <c r="I16" s="17"/>
      <c r="J16" s="8"/>
      <c r="L16" s="17"/>
      <c r="M16" s="8"/>
      <c r="O16" s="17"/>
      <c r="P16" s="8"/>
      <c r="R16" s="17"/>
      <c r="S16" s="8"/>
    </row>
    <row r="17" spans="1:19" x14ac:dyDescent="0.15">
      <c r="A17" s="5">
        <v>43692</v>
      </c>
      <c r="B17" s="5" t="s">
        <v>7</v>
      </c>
      <c r="C17" s="18"/>
      <c r="D17" s="8"/>
      <c r="F17" s="17"/>
      <c r="G17" s="8"/>
      <c r="I17" s="17"/>
      <c r="J17" s="8"/>
      <c r="L17" s="17"/>
      <c r="M17" s="8"/>
      <c r="O17" s="17" t="s">
        <v>15</v>
      </c>
      <c r="P17" s="8">
        <v>-6</v>
      </c>
      <c r="R17" s="17"/>
      <c r="S17" s="8"/>
    </row>
    <row r="18" spans="1:19" x14ac:dyDescent="0.15">
      <c r="A18" s="5">
        <v>43693</v>
      </c>
      <c r="B18" s="5" t="s">
        <v>8</v>
      </c>
      <c r="C18" s="18"/>
      <c r="D18" s="8"/>
      <c r="F18" s="18"/>
      <c r="G18" s="8"/>
      <c r="I18" s="17"/>
      <c r="J18" s="8"/>
      <c r="L18" s="17"/>
      <c r="M18" s="8"/>
      <c r="O18" s="17"/>
      <c r="P18" s="8"/>
      <c r="R18" s="17"/>
      <c r="S18" s="8"/>
    </row>
    <row r="19" spans="1:19" x14ac:dyDescent="0.15">
      <c r="A19" s="5">
        <v>43694</v>
      </c>
      <c r="B19" s="5" t="s">
        <v>9</v>
      </c>
      <c r="C19" s="18"/>
      <c r="D19" s="8"/>
      <c r="F19" s="17"/>
      <c r="G19" s="8"/>
      <c r="I19" s="17"/>
      <c r="J19" s="8"/>
      <c r="L19" s="17"/>
      <c r="M19" s="8"/>
      <c r="O19" s="17"/>
      <c r="P19" s="8"/>
      <c r="R19" s="17"/>
      <c r="S19" s="8"/>
    </row>
    <row r="20" spans="1:19" x14ac:dyDescent="0.15">
      <c r="A20" s="5">
        <v>43695</v>
      </c>
      <c r="B20" s="5" t="s">
        <v>10</v>
      </c>
      <c r="C20" s="18"/>
      <c r="D20" s="8"/>
      <c r="F20" s="18"/>
      <c r="G20" s="8"/>
      <c r="I20" s="17"/>
      <c r="J20" s="8"/>
      <c r="L20" s="17"/>
      <c r="M20" s="8"/>
      <c r="O20" s="17"/>
      <c r="P20" s="8"/>
      <c r="R20" s="17"/>
      <c r="S20" s="8"/>
    </row>
    <row r="21" spans="1:19" x14ac:dyDescent="0.15">
      <c r="A21" s="5">
        <v>43696</v>
      </c>
      <c r="B21" s="5" t="s">
        <v>5</v>
      </c>
      <c r="C21" s="18"/>
      <c r="D21" s="8"/>
      <c r="F21" s="18"/>
      <c r="G21" s="8"/>
      <c r="I21" s="18"/>
      <c r="J21" s="8"/>
      <c r="L21" s="18"/>
      <c r="M21" s="8"/>
      <c r="O21" s="18"/>
      <c r="P21" s="8"/>
      <c r="R21" s="18"/>
      <c r="S21" s="8"/>
    </row>
    <row r="22" spans="1:19" x14ac:dyDescent="0.15">
      <c r="A22" s="5">
        <v>43697</v>
      </c>
      <c r="B22" s="5" t="s">
        <v>4</v>
      </c>
      <c r="C22" s="18"/>
      <c r="D22" s="8"/>
      <c r="F22" s="17"/>
      <c r="G22" s="8"/>
      <c r="I22" s="17"/>
      <c r="J22" s="8"/>
      <c r="L22" s="17"/>
      <c r="M22" s="8"/>
      <c r="O22" s="17"/>
      <c r="P22" s="8"/>
      <c r="R22" s="17"/>
      <c r="S22" s="8"/>
    </row>
    <row r="23" spans="1:19" x14ac:dyDescent="0.15">
      <c r="A23" s="5">
        <v>43698</v>
      </c>
      <c r="B23" s="5" t="s">
        <v>6</v>
      </c>
      <c r="C23" s="18"/>
      <c r="D23" s="8"/>
      <c r="F23" s="17"/>
      <c r="G23" s="8"/>
      <c r="I23" s="18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43699</v>
      </c>
      <c r="B24" s="5" t="s">
        <v>7</v>
      </c>
      <c r="C24" s="18"/>
      <c r="D24" s="8"/>
      <c r="F24" s="17" t="s">
        <v>215</v>
      </c>
      <c r="G24" s="8">
        <v>40</v>
      </c>
      <c r="I24" s="17" t="s">
        <v>215</v>
      </c>
      <c r="J24" s="8">
        <v>40</v>
      </c>
      <c r="L24" s="18"/>
      <c r="M24" s="8"/>
      <c r="O24" s="17" t="s">
        <v>15</v>
      </c>
      <c r="P24" s="8">
        <v>8</v>
      </c>
      <c r="R24" s="17"/>
      <c r="S24" s="8"/>
    </row>
    <row r="25" spans="1:19" x14ac:dyDescent="0.15">
      <c r="A25" s="5"/>
      <c r="B25" s="5"/>
      <c r="C25" s="18"/>
      <c r="D25" s="8"/>
      <c r="F25" s="17"/>
      <c r="G25" s="8"/>
      <c r="I25" s="17" t="s">
        <v>216</v>
      </c>
      <c r="J25" s="8">
        <v>-200</v>
      </c>
      <c r="L25" s="18"/>
      <c r="M25" s="8"/>
      <c r="O25" s="17"/>
      <c r="P25" s="8"/>
      <c r="R25" s="17"/>
      <c r="S25" s="8"/>
    </row>
    <row r="26" spans="1:19" x14ac:dyDescent="0.15">
      <c r="A26" s="5">
        <v>43700</v>
      </c>
      <c r="B26" s="5" t="s">
        <v>8</v>
      </c>
      <c r="C26" s="18"/>
      <c r="D26" s="8"/>
      <c r="F26" s="17"/>
      <c r="G26" s="8"/>
      <c r="I26" s="17"/>
      <c r="J26" s="8"/>
      <c r="L26" s="18"/>
      <c r="M26" s="8"/>
      <c r="O26" s="17" t="s">
        <v>15</v>
      </c>
      <c r="P26" s="8">
        <v>-6</v>
      </c>
      <c r="R26" s="17"/>
      <c r="S26" s="8"/>
    </row>
    <row r="27" spans="1:19" x14ac:dyDescent="0.15">
      <c r="A27" s="5">
        <v>43701</v>
      </c>
      <c r="B27" s="5" t="s">
        <v>9</v>
      </c>
      <c r="C27" s="18"/>
      <c r="D27" s="8"/>
      <c r="F27" s="17"/>
      <c r="G27" s="8"/>
      <c r="I27" s="17"/>
      <c r="J27" s="8"/>
      <c r="L27" s="18"/>
      <c r="M27" s="8"/>
      <c r="O27" s="18"/>
      <c r="P27" s="8"/>
      <c r="R27" s="18"/>
      <c r="S27" s="8"/>
    </row>
    <row r="28" spans="1:19" x14ac:dyDescent="0.15">
      <c r="A28" s="5">
        <v>43702</v>
      </c>
      <c r="B28" s="5" t="s">
        <v>10</v>
      </c>
      <c r="C28" s="18"/>
      <c r="D28" s="8"/>
      <c r="F28" s="17"/>
      <c r="G28" s="8"/>
      <c r="I28" s="17"/>
      <c r="J28" s="8"/>
      <c r="L28" s="18"/>
      <c r="M28" s="8"/>
      <c r="O28" s="18"/>
      <c r="P28" s="8"/>
      <c r="R28" s="18"/>
      <c r="S28" s="8"/>
    </row>
    <row r="29" spans="1:19" x14ac:dyDescent="0.15">
      <c r="A29" s="5">
        <v>43703</v>
      </c>
      <c r="B29" s="5" t="s">
        <v>5</v>
      </c>
      <c r="C29" s="18"/>
      <c r="D29" s="8"/>
      <c r="F29" s="17" t="s">
        <v>215</v>
      </c>
      <c r="G29" s="8">
        <v>20</v>
      </c>
      <c r="I29" s="18"/>
      <c r="J29" s="8"/>
      <c r="L29" s="18"/>
      <c r="M29" s="8"/>
      <c r="O29" s="17"/>
      <c r="P29" s="8"/>
      <c r="R29" s="18"/>
      <c r="S29" s="8"/>
    </row>
    <row r="30" spans="1:19" x14ac:dyDescent="0.15">
      <c r="A30" s="5"/>
      <c r="B30" s="5"/>
      <c r="C30" s="18"/>
      <c r="D30" s="8"/>
      <c r="F30" s="17" t="s">
        <v>218</v>
      </c>
      <c r="G30" s="8">
        <v>-190</v>
      </c>
      <c r="I30" s="18"/>
      <c r="J30" s="8"/>
      <c r="L30" s="18"/>
      <c r="M30" s="8"/>
      <c r="O30" s="17"/>
      <c r="P30" s="8"/>
      <c r="R30" s="18"/>
      <c r="S30" s="8"/>
    </row>
    <row r="31" spans="1:19" x14ac:dyDescent="0.15">
      <c r="A31" s="5">
        <v>43704</v>
      </c>
      <c r="B31" s="5" t="s">
        <v>4</v>
      </c>
      <c r="C31" s="18"/>
      <c r="D31" s="8"/>
      <c r="F31" s="17" t="s">
        <v>27</v>
      </c>
      <c r="G31" s="8">
        <v>-29</v>
      </c>
      <c r="I31" s="18"/>
      <c r="J31" s="8"/>
      <c r="L31" s="18"/>
      <c r="M31" s="8"/>
      <c r="O31" s="18" t="s">
        <v>219</v>
      </c>
      <c r="P31" s="8">
        <v>-458.5</v>
      </c>
      <c r="R31" s="18"/>
      <c r="S31" s="8"/>
    </row>
    <row r="32" spans="1:19" x14ac:dyDescent="0.15">
      <c r="A32" s="5">
        <v>43705</v>
      </c>
      <c r="B32" s="5" t="s">
        <v>6</v>
      </c>
      <c r="C32" s="18"/>
      <c r="D32" s="8"/>
      <c r="F32" s="17" t="s">
        <v>220</v>
      </c>
      <c r="G32" s="8">
        <v>-200</v>
      </c>
      <c r="I32" s="18"/>
      <c r="J32" s="8"/>
      <c r="L32" s="18" t="s">
        <v>221</v>
      </c>
      <c r="M32" s="8">
        <v>-20</v>
      </c>
      <c r="O32" s="18"/>
      <c r="P32" s="8"/>
      <c r="R32" s="18"/>
      <c r="S32" s="8"/>
    </row>
    <row r="33" spans="1:19" x14ac:dyDescent="0.15">
      <c r="A33" s="5">
        <v>43706</v>
      </c>
      <c r="B33" s="5" t="s">
        <v>7</v>
      </c>
      <c r="C33" s="18"/>
      <c r="D33" s="8"/>
      <c r="F33" s="17"/>
      <c r="G33" s="8"/>
      <c r="I33" s="18"/>
      <c r="J33" s="8"/>
      <c r="L33" s="18" t="s">
        <v>109</v>
      </c>
      <c r="M33" s="8">
        <v>-20</v>
      </c>
      <c r="O33" s="18"/>
      <c r="P33" s="8"/>
      <c r="R33" s="18"/>
      <c r="S33" s="8"/>
    </row>
    <row r="34" spans="1:19" x14ac:dyDescent="0.15">
      <c r="A34" s="5">
        <v>43707</v>
      </c>
      <c r="B34" s="5" t="s">
        <v>8</v>
      </c>
      <c r="C34" s="18"/>
      <c r="D34" s="8"/>
      <c r="F34" s="17" t="s">
        <v>215</v>
      </c>
      <c r="G34" s="8">
        <v>37</v>
      </c>
      <c r="I34" s="17" t="s">
        <v>215</v>
      </c>
      <c r="J34" s="8">
        <v>37</v>
      </c>
      <c r="L34" s="18" t="s">
        <v>109</v>
      </c>
      <c r="M34" s="8">
        <v>-20</v>
      </c>
      <c r="O34" s="18"/>
      <c r="P34" s="8"/>
      <c r="R34" s="18"/>
      <c r="S34" s="8"/>
    </row>
    <row r="35" spans="1:19" x14ac:dyDescent="0.15">
      <c r="A35" s="5">
        <v>43708</v>
      </c>
      <c r="B35" s="5" t="s">
        <v>9</v>
      </c>
      <c r="C35" s="18"/>
      <c r="D35" s="8"/>
      <c r="F35" s="17"/>
      <c r="G35" s="8"/>
      <c r="I35" s="18"/>
      <c r="J35" s="8"/>
      <c r="L35" s="18"/>
      <c r="M35" s="8"/>
      <c r="O35" s="17"/>
      <c r="P35" s="8"/>
      <c r="R35" s="17"/>
      <c r="S35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M11" sqref="M11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SUM(D3:D41)</f>
        <v>0</v>
      </c>
      <c r="D2" s="43"/>
      <c r="E2" s="3"/>
      <c r="F2" s="42">
        <f>SUM(G:G)</f>
        <v>440.5</v>
      </c>
      <c r="G2" s="43"/>
      <c r="H2" s="14"/>
      <c r="I2" s="42">
        <f>SUM(J:J)</f>
        <v>157</v>
      </c>
      <c r="J2" s="43"/>
      <c r="K2" s="14"/>
      <c r="L2" s="42">
        <f>SUM(M:M)</f>
        <v>17</v>
      </c>
      <c r="M2" s="43"/>
      <c r="O2" s="42">
        <f>SUM(P:P)</f>
        <v>139.5</v>
      </c>
      <c r="P2" s="43"/>
      <c r="R2" s="42">
        <f>SUM(S:S)</f>
        <v>-20</v>
      </c>
      <c r="S2" s="43"/>
    </row>
    <row r="3" spans="1:19" x14ac:dyDescent="0.15">
      <c r="A3" s="5">
        <v>43617</v>
      </c>
      <c r="B3" s="5" t="s">
        <v>132</v>
      </c>
      <c r="C3" s="17"/>
      <c r="D3" s="8"/>
      <c r="F3" s="17" t="s">
        <v>15</v>
      </c>
      <c r="G3" s="8">
        <v>6</v>
      </c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43618</v>
      </c>
      <c r="B4" s="5" t="s">
        <v>10</v>
      </c>
      <c r="C4" s="18"/>
      <c r="D4" s="8"/>
      <c r="F4" s="17"/>
      <c r="G4" s="8"/>
      <c r="I4" s="17"/>
      <c r="J4" s="8"/>
      <c r="L4" s="17"/>
      <c r="M4" s="8"/>
      <c r="O4" s="17"/>
      <c r="P4" s="8"/>
      <c r="R4" s="17"/>
      <c r="S4" s="8"/>
    </row>
    <row r="5" spans="1:19" x14ac:dyDescent="0.15">
      <c r="A5" s="5">
        <v>43619</v>
      </c>
      <c r="B5" s="5" t="s">
        <v>5</v>
      </c>
      <c r="C5" s="18"/>
      <c r="D5" s="8"/>
      <c r="F5" s="17" t="s">
        <v>15</v>
      </c>
      <c r="G5" s="8">
        <v>6</v>
      </c>
      <c r="I5" s="17"/>
      <c r="J5" s="8"/>
      <c r="L5" s="17"/>
      <c r="M5" s="8"/>
      <c r="O5" s="17"/>
      <c r="P5" s="8"/>
      <c r="R5" s="17"/>
      <c r="S5" s="8"/>
    </row>
    <row r="6" spans="1:19" x14ac:dyDescent="0.15">
      <c r="A6" s="5">
        <v>43620</v>
      </c>
      <c r="B6" s="5" t="s">
        <v>4</v>
      </c>
      <c r="C6" s="18"/>
      <c r="D6" s="8"/>
      <c r="F6" s="17" t="s">
        <v>15</v>
      </c>
      <c r="G6" s="8">
        <v>6</v>
      </c>
      <c r="I6" s="18"/>
      <c r="J6" s="8"/>
      <c r="L6" s="17"/>
      <c r="M6" s="8"/>
      <c r="O6" s="17" t="s">
        <v>192</v>
      </c>
      <c r="P6" s="8">
        <v>12.5</v>
      </c>
      <c r="R6" s="17"/>
      <c r="S6" s="8"/>
    </row>
    <row r="7" spans="1:19" x14ac:dyDescent="0.15">
      <c r="A7" s="5">
        <v>43621</v>
      </c>
      <c r="B7" s="5" t="s">
        <v>6</v>
      </c>
      <c r="C7" s="18"/>
      <c r="D7" s="8"/>
      <c r="F7" s="17" t="s">
        <v>15</v>
      </c>
      <c r="G7" s="8">
        <v>6</v>
      </c>
      <c r="I7" s="17" t="s">
        <v>193</v>
      </c>
      <c r="J7" s="8">
        <v>38</v>
      </c>
      <c r="L7" s="17"/>
      <c r="M7" s="8"/>
      <c r="O7" s="17"/>
      <c r="P7" s="8"/>
      <c r="R7" s="17" t="s">
        <v>194</v>
      </c>
      <c r="S7" s="8">
        <v>22</v>
      </c>
    </row>
    <row r="8" spans="1:19" x14ac:dyDescent="0.15">
      <c r="A8" s="5"/>
      <c r="B8" s="5"/>
      <c r="C8" s="18"/>
      <c r="D8" s="8"/>
      <c r="F8" s="17" t="s">
        <v>193</v>
      </c>
      <c r="G8" s="8">
        <v>38</v>
      </c>
      <c r="I8" s="18"/>
      <c r="J8" s="8"/>
      <c r="L8" s="17"/>
      <c r="M8" s="8"/>
      <c r="O8" s="17"/>
      <c r="P8" s="8"/>
      <c r="R8" s="17"/>
      <c r="S8" s="8"/>
    </row>
    <row r="9" spans="1:19" x14ac:dyDescent="0.15">
      <c r="A9" s="5">
        <v>43622</v>
      </c>
      <c r="B9" s="5" t="s">
        <v>7</v>
      </c>
      <c r="C9" s="18"/>
      <c r="D9" s="8"/>
      <c r="F9" s="17" t="s">
        <v>15</v>
      </c>
      <c r="G9" s="8">
        <v>6</v>
      </c>
      <c r="I9" s="18"/>
      <c r="J9" s="8"/>
      <c r="L9" s="17"/>
      <c r="M9" s="8"/>
      <c r="O9" s="17" t="s">
        <v>192</v>
      </c>
      <c r="P9" s="8">
        <v>9</v>
      </c>
      <c r="R9" s="17" t="s">
        <v>192</v>
      </c>
      <c r="S9" s="8">
        <v>9</v>
      </c>
    </row>
    <row r="10" spans="1:19" x14ac:dyDescent="0.15">
      <c r="A10" s="5"/>
      <c r="B10" s="5"/>
      <c r="C10" s="18"/>
      <c r="D10" s="8"/>
      <c r="F10" s="17"/>
      <c r="G10" s="8"/>
      <c r="I10" s="18"/>
      <c r="J10" s="8"/>
      <c r="L10" s="17"/>
      <c r="M10" s="8"/>
      <c r="O10" s="17"/>
      <c r="P10" s="8"/>
      <c r="R10" s="17" t="s">
        <v>195</v>
      </c>
      <c r="S10" s="8">
        <v>-44</v>
      </c>
    </row>
    <row r="11" spans="1:19" x14ac:dyDescent="0.15">
      <c r="A11" s="5">
        <v>43623</v>
      </c>
      <c r="B11" s="5" t="s">
        <v>8</v>
      </c>
      <c r="C11" s="18"/>
      <c r="D11" s="8"/>
      <c r="F11" s="17" t="s">
        <v>15</v>
      </c>
      <c r="G11" s="8">
        <v>6</v>
      </c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43624</v>
      </c>
      <c r="B12" s="5" t="s">
        <v>9</v>
      </c>
      <c r="C12" s="18"/>
      <c r="D12" s="8"/>
      <c r="F12" s="17"/>
      <c r="G12" s="8"/>
      <c r="I12" s="18"/>
      <c r="J12" s="8"/>
      <c r="L12" s="17"/>
      <c r="M12" s="8"/>
      <c r="O12" s="17"/>
      <c r="P12" s="8"/>
      <c r="R12" s="17"/>
      <c r="S12" s="8"/>
    </row>
    <row r="13" spans="1:19" x14ac:dyDescent="0.15">
      <c r="A13" s="5">
        <v>43625</v>
      </c>
      <c r="B13" s="5" t="s">
        <v>10</v>
      </c>
      <c r="C13" s="18"/>
      <c r="D13" s="8"/>
      <c r="F13" s="17"/>
      <c r="G13" s="8"/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>
        <v>43626</v>
      </c>
      <c r="B14" s="5" t="s">
        <v>5</v>
      </c>
      <c r="C14" s="18"/>
      <c r="D14" s="8"/>
      <c r="F14" s="17" t="s">
        <v>15</v>
      </c>
      <c r="G14" s="8">
        <v>6</v>
      </c>
      <c r="I14" s="17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43627</v>
      </c>
      <c r="B15" s="5" t="s">
        <v>4</v>
      </c>
      <c r="C15" s="18"/>
      <c r="D15" s="8"/>
      <c r="F15" s="17" t="s">
        <v>196</v>
      </c>
      <c r="G15" s="8">
        <v>6</v>
      </c>
      <c r="I15" s="18"/>
      <c r="J15" s="8"/>
      <c r="L15" s="17" t="s">
        <v>126</v>
      </c>
      <c r="M15" s="8">
        <f>9+8</f>
        <v>17</v>
      </c>
      <c r="O15" s="17"/>
      <c r="P15" s="8"/>
      <c r="R15" s="17" t="s">
        <v>126</v>
      </c>
      <c r="S15" s="8">
        <v>9</v>
      </c>
    </row>
    <row r="16" spans="1:19" x14ac:dyDescent="0.15">
      <c r="A16" s="5">
        <v>43628</v>
      </c>
      <c r="B16" s="5" t="s">
        <v>6</v>
      </c>
      <c r="C16" s="18"/>
      <c r="D16" s="8"/>
      <c r="F16" s="17" t="s">
        <v>96</v>
      </c>
      <c r="G16" s="8">
        <v>6</v>
      </c>
      <c r="I16" s="17" t="s">
        <v>193</v>
      </c>
      <c r="J16" s="8">
        <v>28</v>
      </c>
      <c r="L16" s="17"/>
      <c r="M16" s="8"/>
      <c r="O16" s="17" t="s">
        <v>96</v>
      </c>
      <c r="P16" s="8">
        <v>6</v>
      </c>
      <c r="R16" s="17"/>
      <c r="S16" s="8"/>
    </row>
    <row r="17" spans="1:19" x14ac:dyDescent="0.15">
      <c r="A17" s="5"/>
      <c r="B17" s="5"/>
      <c r="C17" s="18"/>
      <c r="D17" s="8"/>
      <c r="F17" s="17" t="s">
        <v>193</v>
      </c>
      <c r="G17" s="8">
        <v>28</v>
      </c>
      <c r="I17" s="17"/>
      <c r="J17" s="8"/>
      <c r="L17" s="17"/>
      <c r="M17" s="8"/>
      <c r="O17" s="17" t="s">
        <v>126</v>
      </c>
      <c r="P17" s="8">
        <v>9</v>
      </c>
      <c r="R17" s="17"/>
      <c r="S17" s="8"/>
    </row>
    <row r="18" spans="1:19" x14ac:dyDescent="0.15">
      <c r="A18" s="5">
        <v>43629</v>
      </c>
      <c r="B18" s="5" t="s">
        <v>7</v>
      </c>
      <c r="C18" s="18"/>
      <c r="D18" s="8"/>
      <c r="F18" s="18"/>
      <c r="G18" s="8"/>
      <c r="I18" s="17"/>
      <c r="J18" s="8"/>
      <c r="L18" s="17"/>
      <c r="M18" s="8"/>
      <c r="O18" s="17" t="s">
        <v>126</v>
      </c>
      <c r="P18" s="8">
        <v>9</v>
      </c>
      <c r="R18" s="17" t="s">
        <v>126</v>
      </c>
      <c r="S18" s="8">
        <v>9</v>
      </c>
    </row>
    <row r="19" spans="1:19" x14ac:dyDescent="0.15">
      <c r="A19" s="5">
        <v>43630</v>
      </c>
      <c r="B19" s="5" t="s">
        <v>8</v>
      </c>
      <c r="C19" s="18"/>
      <c r="D19" s="8"/>
      <c r="F19" s="17" t="s">
        <v>193</v>
      </c>
      <c r="G19" s="8">
        <v>20</v>
      </c>
      <c r="I19" s="17" t="s">
        <v>193</v>
      </c>
      <c r="J19" s="8">
        <v>27</v>
      </c>
      <c r="L19" s="17"/>
      <c r="M19" s="8"/>
      <c r="O19" s="17"/>
      <c r="P19" s="8"/>
      <c r="R19" s="17" t="s">
        <v>194</v>
      </c>
      <c r="S19" s="8">
        <v>20</v>
      </c>
    </row>
    <row r="20" spans="1:19" x14ac:dyDescent="0.15">
      <c r="A20" s="5">
        <v>43631</v>
      </c>
      <c r="B20" s="5" t="s">
        <v>9</v>
      </c>
      <c r="C20" s="18"/>
      <c r="D20" s="8"/>
      <c r="F20" s="18"/>
      <c r="G20" s="8"/>
      <c r="I20" s="17"/>
      <c r="J20" s="8"/>
      <c r="L20" s="17"/>
      <c r="M20" s="8"/>
      <c r="O20" s="17"/>
      <c r="P20" s="8"/>
      <c r="R20" s="17"/>
      <c r="S20" s="8"/>
    </row>
    <row r="21" spans="1:19" x14ac:dyDescent="0.15">
      <c r="A21" s="5">
        <v>43632</v>
      </c>
      <c r="B21" s="5" t="s">
        <v>10</v>
      </c>
      <c r="C21" s="18"/>
      <c r="D21" s="8"/>
      <c r="F21" s="18"/>
      <c r="G21" s="8"/>
      <c r="I21" s="18"/>
      <c r="J21" s="8"/>
      <c r="L21" s="18"/>
      <c r="M21" s="8"/>
      <c r="O21" s="18"/>
      <c r="P21" s="8"/>
      <c r="R21" s="18"/>
      <c r="S21" s="8"/>
    </row>
    <row r="22" spans="1:19" x14ac:dyDescent="0.15">
      <c r="A22" s="5">
        <v>43633</v>
      </c>
      <c r="B22" s="5" t="s">
        <v>5</v>
      </c>
      <c r="C22" s="18"/>
      <c r="D22" s="8"/>
      <c r="F22" s="17" t="s">
        <v>70</v>
      </c>
      <c r="G22" s="8">
        <v>6</v>
      </c>
      <c r="I22" s="17"/>
      <c r="J22" s="8"/>
      <c r="L22" s="17"/>
      <c r="M22" s="8"/>
      <c r="O22" s="17" t="s">
        <v>194</v>
      </c>
      <c r="P22" s="8">
        <v>16</v>
      </c>
      <c r="R22" s="17" t="s">
        <v>194</v>
      </c>
      <c r="S22" s="8">
        <v>16</v>
      </c>
    </row>
    <row r="23" spans="1:19" x14ac:dyDescent="0.15">
      <c r="A23" s="5">
        <v>43634</v>
      </c>
      <c r="B23" s="5" t="s">
        <v>4</v>
      </c>
      <c r="C23" s="18"/>
      <c r="D23" s="8"/>
      <c r="F23" s="17" t="s">
        <v>70</v>
      </c>
      <c r="G23" s="8">
        <v>6</v>
      </c>
      <c r="I23" s="18"/>
      <c r="J23" s="8"/>
      <c r="L23" s="17"/>
      <c r="M23" s="8"/>
      <c r="O23" s="17"/>
      <c r="P23" s="8"/>
      <c r="R23" s="17"/>
      <c r="S23" s="8"/>
    </row>
    <row r="24" spans="1:19" x14ac:dyDescent="0.15">
      <c r="A24" s="5">
        <v>43635</v>
      </c>
      <c r="B24" s="5" t="s">
        <v>6</v>
      </c>
      <c r="C24" s="18"/>
      <c r="D24" s="8"/>
      <c r="F24" s="17" t="s">
        <v>15</v>
      </c>
      <c r="G24" s="8">
        <v>6</v>
      </c>
      <c r="I24" s="17"/>
      <c r="J24" s="8"/>
      <c r="L24" s="18"/>
      <c r="M24" s="8"/>
      <c r="O24" s="17" t="s">
        <v>194</v>
      </c>
      <c r="P24" s="8">
        <v>8</v>
      </c>
      <c r="R24" s="17" t="s">
        <v>194</v>
      </c>
      <c r="S24" s="8">
        <v>20</v>
      </c>
    </row>
    <row r="25" spans="1:19" x14ac:dyDescent="0.15">
      <c r="A25" s="5"/>
      <c r="B25" s="5"/>
      <c r="C25" s="18"/>
      <c r="D25" s="8"/>
      <c r="F25" s="17" t="s">
        <v>200</v>
      </c>
      <c r="G25" s="8">
        <v>-44</v>
      </c>
      <c r="I25" s="17"/>
      <c r="J25" s="8"/>
      <c r="L25" s="18"/>
      <c r="M25" s="8"/>
      <c r="O25" s="17"/>
      <c r="P25" s="8"/>
      <c r="R25" s="17"/>
      <c r="S25" s="8"/>
    </row>
    <row r="26" spans="1:19" x14ac:dyDescent="0.15">
      <c r="A26" s="5">
        <v>43636</v>
      </c>
      <c r="B26" s="5" t="s">
        <v>7</v>
      </c>
      <c r="C26" s="18"/>
      <c r="D26" s="8"/>
      <c r="F26" s="17" t="s">
        <v>202</v>
      </c>
      <c r="G26" s="8">
        <v>22</v>
      </c>
      <c r="I26" s="17" t="s">
        <v>202</v>
      </c>
      <c r="J26" s="8">
        <v>20</v>
      </c>
      <c r="L26" s="18"/>
      <c r="M26" s="8"/>
      <c r="O26" s="18"/>
      <c r="P26" s="8"/>
      <c r="R26" s="18"/>
      <c r="S26" s="8"/>
    </row>
    <row r="27" spans="1:19" x14ac:dyDescent="0.15">
      <c r="A27" s="5"/>
      <c r="B27" s="5"/>
      <c r="C27" s="18"/>
      <c r="D27" s="8"/>
      <c r="F27" s="17" t="s">
        <v>194</v>
      </c>
      <c r="G27" s="8">
        <v>18</v>
      </c>
      <c r="I27" s="17"/>
      <c r="J27" s="8"/>
      <c r="L27" s="18"/>
      <c r="M27" s="8"/>
      <c r="O27" s="18"/>
      <c r="P27" s="8"/>
      <c r="R27" s="18"/>
      <c r="S27" s="8"/>
    </row>
    <row r="28" spans="1:19" x14ac:dyDescent="0.15">
      <c r="A28" s="5">
        <v>43637</v>
      </c>
      <c r="B28" s="5" t="s">
        <v>8</v>
      </c>
      <c r="C28" s="18"/>
      <c r="D28" s="8"/>
      <c r="F28" s="17" t="s">
        <v>202</v>
      </c>
      <c r="G28" s="8">
        <v>36</v>
      </c>
      <c r="I28" s="18"/>
      <c r="J28" s="8"/>
      <c r="L28" s="18"/>
      <c r="M28" s="8"/>
      <c r="O28" s="17" t="s">
        <v>194</v>
      </c>
      <c r="P28" s="8">
        <v>14</v>
      </c>
      <c r="R28" s="18"/>
      <c r="S28" s="8"/>
    </row>
    <row r="29" spans="1:19" x14ac:dyDescent="0.15">
      <c r="A29" s="5"/>
      <c r="B29" s="5"/>
      <c r="C29" s="18"/>
      <c r="D29" s="8"/>
      <c r="F29" s="17" t="s">
        <v>203</v>
      </c>
      <c r="G29" s="8">
        <v>36</v>
      </c>
      <c r="I29" s="18"/>
      <c r="J29" s="8"/>
      <c r="L29" s="18"/>
      <c r="M29" s="8"/>
      <c r="O29" s="18"/>
      <c r="P29" s="8"/>
      <c r="R29" s="18"/>
      <c r="S29" s="8"/>
    </row>
    <row r="30" spans="1:19" x14ac:dyDescent="0.15">
      <c r="A30" s="5"/>
      <c r="B30" s="5"/>
      <c r="C30" s="18"/>
      <c r="D30" s="8"/>
      <c r="F30" s="17" t="s">
        <v>194</v>
      </c>
      <c r="G30" s="8">
        <v>19</v>
      </c>
      <c r="I30" s="18"/>
      <c r="J30" s="8"/>
      <c r="L30" s="18"/>
      <c r="M30" s="8"/>
      <c r="O30" s="18"/>
      <c r="P30" s="8"/>
      <c r="R30" s="18"/>
      <c r="S30" s="8"/>
    </row>
    <row r="31" spans="1:19" x14ac:dyDescent="0.15">
      <c r="A31" s="5">
        <v>43638</v>
      </c>
      <c r="B31" s="5" t="s">
        <v>9</v>
      </c>
      <c r="C31" s="18"/>
      <c r="D31" s="8"/>
      <c r="F31" s="17"/>
      <c r="G31" s="8"/>
      <c r="I31" s="18"/>
      <c r="J31" s="8"/>
      <c r="L31" s="18"/>
      <c r="M31" s="8"/>
      <c r="O31" s="18"/>
      <c r="P31" s="8"/>
      <c r="R31" s="18"/>
      <c r="S31" s="8"/>
    </row>
    <row r="32" spans="1:19" x14ac:dyDescent="0.15">
      <c r="A32" s="5">
        <v>43639</v>
      </c>
      <c r="B32" s="5" t="s">
        <v>10</v>
      </c>
      <c r="C32" s="18"/>
      <c r="D32" s="8"/>
      <c r="F32" s="17"/>
      <c r="G32" s="8"/>
      <c r="I32" s="18"/>
      <c r="J32" s="8"/>
      <c r="L32" s="18"/>
      <c r="M32" s="8"/>
      <c r="O32" s="18"/>
      <c r="P32" s="8"/>
      <c r="R32" s="18"/>
      <c r="S32" s="8"/>
    </row>
    <row r="33" spans="1:19" x14ac:dyDescent="0.15">
      <c r="A33" s="5">
        <v>43640</v>
      </c>
      <c r="B33" s="5" t="s">
        <v>5</v>
      </c>
      <c r="C33" s="18"/>
      <c r="D33" s="8"/>
      <c r="F33" s="17"/>
      <c r="G33" s="8"/>
      <c r="I33" s="18"/>
      <c r="J33" s="8"/>
      <c r="L33" s="18"/>
      <c r="M33" s="8"/>
      <c r="O33" s="17"/>
      <c r="P33" s="8"/>
      <c r="R33" s="17"/>
      <c r="S33" s="8"/>
    </row>
    <row r="34" spans="1:19" x14ac:dyDescent="0.15">
      <c r="A34" s="5">
        <v>43641</v>
      </c>
      <c r="B34" s="5" t="s">
        <v>4</v>
      </c>
      <c r="C34" s="18"/>
      <c r="D34" s="8"/>
      <c r="F34" s="17" t="s">
        <v>194</v>
      </c>
      <c r="G34" s="8">
        <v>19</v>
      </c>
      <c r="I34" s="18"/>
      <c r="J34" s="8"/>
      <c r="L34" s="18"/>
      <c r="M34" s="8"/>
      <c r="O34" s="17" t="s">
        <v>194</v>
      </c>
      <c r="P34" s="8">
        <v>20</v>
      </c>
      <c r="R34" s="17" t="s">
        <v>194</v>
      </c>
      <c r="S34" s="8">
        <v>16</v>
      </c>
    </row>
    <row r="35" spans="1:19" x14ac:dyDescent="0.15">
      <c r="A35" s="5">
        <v>43642</v>
      </c>
      <c r="B35" s="5" t="s">
        <v>6</v>
      </c>
      <c r="C35" s="18"/>
      <c r="D35" s="8"/>
      <c r="F35" s="17" t="s">
        <v>202</v>
      </c>
      <c r="G35" s="8">
        <v>39</v>
      </c>
      <c r="I35" s="17" t="s">
        <v>202</v>
      </c>
      <c r="J35" s="8">
        <v>44</v>
      </c>
      <c r="L35" s="18"/>
      <c r="M35" s="8"/>
      <c r="O35" s="18"/>
      <c r="P35" s="8"/>
      <c r="R35" s="17" t="s">
        <v>194</v>
      </c>
      <c r="S35" s="8">
        <v>18</v>
      </c>
    </row>
    <row r="36" spans="1:19" x14ac:dyDescent="0.15">
      <c r="A36" s="5">
        <v>43643</v>
      </c>
      <c r="B36" s="5" t="s">
        <v>7</v>
      </c>
      <c r="C36" s="18"/>
      <c r="D36" s="8"/>
      <c r="F36" s="17" t="s">
        <v>194</v>
      </c>
      <c r="G36" s="8">
        <v>19</v>
      </c>
      <c r="I36" s="18"/>
      <c r="J36" s="8"/>
      <c r="L36" s="17"/>
      <c r="M36" s="8"/>
      <c r="O36" s="17" t="s">
        <v>194</v>
      </c>
      <c r="P36" s="8">
        <v>18</v>
      </c>
      <c r="R36" s="17"/>
      <c r="S36" s="8"/>
    </row>
    <row r="37" spans="1:19" x14ac:dyDescent="0.15">
      <c r="A37" s="5"/>
      <c r="B37" s="5"/>
      <c r="C37" s="18"/>
      <c r="D37" s="8"/>
      <c r="F37" s="17" t="s">
        <v>209</v>
      </c>
      <c r="G37" s="8">
        <v>192</v>
      </c>
      <c r="I37" s="18"/>
      <c r="J37" s="8"/>
      <c r="L37" s="17"/>
      <c r="M37" s="8"/>
      <c r="O37" s="17"/>
      <c r="P37" s="8"/>
      <c r="R37" s="17"/>
      <c r="S37" s="8"/>
    </row>
    <row r="38" spans="1:19" x14ac:dyDescent="0.15">
      <c r="A38" s="5">
        <v>43644</v>
      </c>
      <c r="B38" s="5" t="s">
        <v>8</v>
      </c>
      <c r="C38" s="18"/>
      <c r="D38" s="8"/>
      <c r="F38" s="17" t="s">
        <v>210</v>
      </c>
      <c r="G38" s="8">
        <v>-497</v>
      </c>
      <c r="I38" s="18"/>
      <c r="J38" s="8"/>
      <c r="L38" s="17"/>
      <c r="M38" s="8"/>
      <c r="O38" s="17" t="s">
        <v>194</v>
      </c>
      <c r="P38" s="8">
        <v>18</v>
      </c>
      <c r="R38" s="17" t="s">
        <v>210</v>
      </c>
      <c r="S38" s="8">
        <v>-115</v>
      </c>
    </row>
    <row r="39" spans="1:19" x14ac:dyDescent="0.15">
      <c r="A39" s="5"/>
      <c r="B39" s="5"/>
      <c r="C39" s="18"/>
      <c r="D39" s="8"/>
      <c r="F39" s="17" t="s">
        <v>27</v>
      </c>
      <c r="G39" s="8">
        <v>423.5</v>
      </c>
      <c r="I39" s="18"/>
      <c r="J39" s="8"/>
      <c r="L39" s="17"/>
      <c r="M39" s="8"/>
      <c r="O39" s="17"/>
      <c r="P39" s="8"/>
      <c r="R39" s="17"/>
      <c r="S39" s="8"/>
    </row>
    <row r="40" spans="1:19" x14ac:dyDescent="0.15">
      <c r="A40" s="5">
        <v>43645</v>
      </c>
      <c r="B40" s="5" t="s">
        <v>9</v>
      </c>
      <c r="C40" s="18"/>
      <c r="D40" s="8"/>
      <c r="F40" s="17"/>
      <c r="G40" s="8"/>
      <c r="I40" s="17"/>
      <c r="J40" s="8"/>
      <c r="L40" s="17"/>
      <c r="M40" s="8"/>
      <c r="O40" s="17"/>
      <c r="P40" s="8"/>
      <c r="R40" s="17"/>
      <c r="S40" s="8"/>
    </row>
    <row r="41" spans="1:19" x14ac:dyDescent="0.15">
      <c r="A41" s="5">
        <v>43646</v>
      </c>
      <c r="B41" s="5" t="s">
        <v>10</v>
      </c>
      <c r="C41" s="18"/>
      <c r="D41" s="8"/>
      <c r="F41" s="17"/>
      <c r="G41" s="8"/>
      <c r="I41" s="18"/>
      <c r="J41" s="8"/>
      <c r="L41" s="17"/>
      <c r="M41" s="8"/>
      <c r="O41" s="17"/>
      <c r="P41" s="8"/>
      <c r="R41" s="17"/>
      <c r="S41" s="8"/>
    </row>
  </sheetData>
  <mergeCells count="12">
    <mergeCell ref="R2:S2"/>
    <mergeCell ref="C1:D1"/>
    <mergeCell ref="F1:G1"/>
    <mergeCell ref="I1:J1"/>
    <mergeCell ref="L1:M1"/>
    <mergeCell ref="O1:P1"/>
    <mergeCell ref="R1:S1"/>
    <mergeCell ref="C2:D2"/>
    <mergeCell ref="F2:G2"/>
    <mergeCell ref="I2:J2"/>
    <mergeCell ref="L2:M2"/>
    <mergeCell ref="O2:P2"/>
  </mergeCells>
  <phoneticPr fontId="1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B48" sqref="B48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  <col min="14" max="14" width="3.625" customWidth="1"/>
    <col min="15" max="15" width="13.125" bestFit="1" customWidth="1"/>
    <col min="17" max="17" width="3.625" customWidth="1"/>
    <col min="18" max="18" width="13.125" bestFit="1" customWidth="1"/>
  </cols>
  <sheetData>
    <row r="1" spans="1:19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175</v>
      </c>
      <c r="P1" s="45"/>
      <c r="R1" s="44" t="s">
        <v>37</v>
      </c>
      <c r="S1" s="45"/>
    </row>
    <row r="2" spans="1:19" x14ac:dyDescent="0.15">
      <c r="A2" s="4" t="s">
        <v>14</v>
      </c>
      <c r="B2" s="4" t="s">
        <v>3</v>
      </c>
      <c r="C2" s="42">
        <f>SUM(D3:D47)</f>
        <v>0</v>
      </c>
      <c r="D2" s="43"/>
      <c r="E2" s="3"/>
      <c r="F2" s="42">
        <f>SUM(G:G)</f>
        <v>-22.599999999999994</v>
      </c>
      <c r="G2" s="43"/>
      <c r="H2" s="14"/>
      <c r="I2" s="42">
        <f>SUM(J:J)</f>
        <v>121.80000000000001</v>
      </c>
      <c r="J2" s="43"/>
      <c r="K2" s="14"/>
      <c r="L2" s="42">
        <f>SUM(M:M)</f>
        <v>-8</v>
      </c>
      <c r="M2" s="43"/>
      <c r="O2" s="42">
        <f>SUM(P:P)</f>
        <v>47</v>
      </c>
      <c r="P2" s="43"/>
      <c r="R2" s="42">
        <f>SUM(S:S)</f>
        <v>20</v>
      </c>
      <c r="S2" s="43"/>
    </row>
    <row r="3" spans="1:19" x14ac:dyDescent="0.15">
      <c r="A3" s="5">
        <v>43586</v>
      </c>
      <c r="B3" s="5" t="s">
        <v>6</v>
      </c>
      <c r="C3" s="17"/>
      <c r="D3" s="8"/>
      <c r="F3" s="17"/>
      <c r="G3" s="8"/>
      <c r="H3" s="15"/>
      <c r="I3" s="17"/>
      <c r="J3" s="8"/>
      <c r="K3" s="15"/>
      <c r="L3" s="18"/>
      <c r="M3" s="8"/>
      <c r="O3" s="18"/>
      <c r="P3" s="8"/>
      <c r="R3" s="18"/>
      <c r="S3" s="8"/>
    </row>
    <row r="4" spans="1:19" x14ac:dyDescent="0.15">
      <c r="A4" s="5">
        <v>43587</v>
      </c>
      <c r="B4" s="5" t="s">
        <v>7</v>
      </c>
      <c r="C4" s="18"/>
      <c r="D4" s="8"/>
      <c r="F4" s="17" t="s">
        <v>20</v>
      </c>
      <c r="G4" s="8">
        <v>40</v>
      </c>
      <c r="I4" s="17" t="s">
        <v>20</v>
      </c>
      <c r="J4" s="8">
        <v>40</v>
      </c>
      <c r="L4" s="17" t="s">
        <v>168</v>
      </c>
      <c r="M4" s="8">
        <v>-8</v>
      </c>
      <c r="O4" s="17"/>
      <c r="P4" s="8"/>
      <c r="R4" s="17"/>
      <c r="S4" s="8"/>
    </row>
    <row r="5" spans="1:19" x14ac:dyDescent="0.15">
      <c r="A5" s="5"/>
      <c r="B5" s="5"/>
      <c r="C5" s="18"/>
      <c r="D5" s="8"/>
      <c r="F5" s="17" t="s">
        <v>167</v>
      </c>
      <c r="G5" s="8">
        <v>6</v>
      </c>
      <c r="I5" s="17"/>
      <c r="J5" s="8"/>
      <c r="L5" s="17"/>
      <c r="M5" s="8"/>
      <c r="O5" s="17"/>
      <c r="P5" s="8"/>
      <c r="R5" s="17"/>
      <c r="S5" s="8"/>
    </row>
    <row r="6" spans="1:19" x14ac:dyDescent="0.15">
      <c r="A6" s="5">
        <v>43588</v>
      </c>
      <c r="B6" s="5" t="s">
        <v>8</v>
      </c>
      <c r="C6" s="18"/>
      <c r="D6" s="8"/>
      <c r="F6" s="17" t="s">
        <v>15</v>
      </c>
      <c r="G6" s="8">
        <v>6</v>
      </c>
      <c r="I6" s="18" t="s">
        <v>169</v>
      </c>
      <c r="J6" s="8">
        <v>13.5</v>
      </c>
      <c r="L6" s="17"/>
      <c r="M6" s="8"/>
      <c r="O6" s="17"/>
      <c r="P6" s="8"/>
      <c r="R6" s="17"/>
      <c r="S6" s="8"/>
    </row>
    <row r="7" spans="1:19" x14ac:dyDescent="0.15">
      <c r="A7" s="5">
        <v>43589</v>
      </c>
      <c r="B7" s="5" t="s">
        <v>9</v>
      </c>
      <c r="C7" s="18"/>
      <c r="D7" s="8"/>
      <c r="F7" s="17" t="s">
        <v>15</v>
      </c>
      <c r="G7" s="8">
        <v>8</v>
      </c>
      <c r="I7" s="18" t="s">
        <v>170</v>
      </c>
      <c r="J7" s="8">
        <v>12.8</v>
      </c>
      <c r="L7" s="17"/>
      <c r="M7" s="8"/>
      <c r="O7" s="17"/>
      <c r="P7" s="8"/>
      <c r="R7" s="17"/>
      <c r="S7" s="8"/>
    </row>
    <row r="8" spans="1:19" x14ac:dyDescent="0.15">
      <c r="A8" s="5">
        <v>43590</v>
      </c>
      <c r="B8" s="5" t="s">
        <v>10</v>
      </c>
      <c r="C8" s="18"/>
      <c r="D8" s="8"/>
      <c r="F8" s="18" t="s">
        <v>171</v>
      </c>
      <c r="G8" s="8">
        <v>96</v>
      </c>
      <c r="I8" s="18"/>
      <c r="J8" s="8"/>
      <c r="L8" s="17"/>
      <c r="M8" s="8"/>
      <c r="O8" s="17"/>
      <c r="P8" s="8"/>
      <c r="R8" s="17"/>
      <c r="S8" s="8"/>
    </row>
    <row r="9" spans="1:19" x14ac:dyDescent="0.15">
      <c r="A9" s="5">
        <v>43591</v>
      </c>
      <c r="B9" s="5" t="s">
        <v>5</v>
      </c>
      <c r="C9" s="18"/>
      <c r="D9" s="8"/>
      <c r="F9" s="17" t="s">
        <v>15</v>
      </c>
      <c r="G9" s="8">
        <v>6</v>
      </c>
      <c r="I9" s="18"/>
      <c r="J9" s="8"/>
      <c r="L9" s="17"/>
      <c r="M9" s="8"/>
      <c r="O9" s="17"/>
      <c r="P9" s="8"/>
      <c r="R9" s="17"/>
      <c r="S9" s="8"/>
    </row>
    <row r="10" spans="1:19" x14ac:dyDescent="0.15">
      <c r="A10" s="5">
        <v>43592</v>
      </c>
      <c r="B10" s="5" t="s">
        <v>4</v>
      </c>
      <c r="C10" s="18"/>
      <c r="D10" s="8"/>
      <c r="F10" s="17" t="s">
        <v>15</v>
      </c>
      <c r="G10" s="8">
        <v>6</v>
      </c>
      <c r="I10" s="18"/>
      <c r="J10" s="8"/>
      <c r="L10" s="17"/>
      <c r="M10" s="8"/>
      <c r="O10" s="17"/>
      <c r="P10" s="8"/>
      <c r="R10" s="17"/>
      <c r="S10" s="8"/>
    </row>
    <row r="11" spans="1:19" x14ac:dyDescent="0.15">
      <c r="A11" s="5">
        <v>43593</v>
      </c>
      <c r="B11" s="5" t="s">
        <v>6</v>
      </c>
      <c r="C11" s="18"/>
      <c r="D11" s="8"/>
      <c r="F11" s="17" t="s">
        <v>15</v>
      </c>
      <c r="G11" s="8">
        <v>6</v>
      </c>
      <c r="I11" s="18"/>
      <c r="J11" s="8"/>
      <c r="L11" s="17"/>
      <c r="M11" s="8"/>
      <c r="O11" s="17"/>
      <c r="P11" s="8"/>
      <c r="R11" s="17"/>
      <c r="S11" s="8"/>
    </row>
    <row r="12" spans="1:19" x14ac:dyDescent="0.15">
      <c r="A12" s="5">
        <v>43594</v>
      </c>
      <c r="B12" s="5" t="s">
        <v>7</v>
      </c>
      <c r="C12" s="18"/>
      <c r="D12" s="8"/>
      <c r="F12" s="17" t="s">
        <v>15</v>
      </c>
      <c r="G12" s="8">
        <v>6</v>
      </c>
      <c r="I12" s="17" t="s">
        <v>20</v>
      </c>
      <c r="J12" s="8">
        <v>42</v>
      </c>
      <c r="L12" s="17"/>
      <c r="M12" s="8"/>
      <c r="O12" s="17"/>
      <c r="P12" s="8"/>
      <c r="R12" s="17"/>
      <c r="S12" s="8"/>
    </row>
    <row r="13" spans="1:19" x14ac:dyDescent="0.15">
      <c r="A13" s="5"/>
      <c r="B13" s="5"/>
      <c r="C13" s="18"/>
      <c r="D13" s="8"/>
      <c r="F13" s="18" t="s">
        <v>111</v>
      </c>
      <c r="G13" s="8">
        <v>-232</v>
      </c>
      <c r="I13" s="18"/>
      <c r="J13" s="8"/>
      <c r="L13" s="17"/>
      <c r="M13" s="8"/>
      <c r="O13" s="17"/>
      <c r="P13" s="8"/>
      <c r="R13" s="17"/>
      <c r="S13" s="8"/>
    </row>
    <row r="14" spans="1:19" x14ac:dyDescent="0.15">
      <c r="A14" s="5"/>
      <c r="B14" s="5"/>
      <c r="C14" s="18"/>
      <c r="D14" s="8"/>
      <c r="F14" s="17" t="s">
        <v>20</v>
      </c>
      <c r="G14" s="8">
        <v>42</v>
      </c>
      <c r="I14" s="18"/>
      <c r="J14" s="8"/>
      <c r="L14" s="17"/>
      <c r="M14" s="8"/>
      <c r="O14" s="17"/>
      <c r="P14" s="8"/>
      <c r="R14" s="17"/>
      <c r="S14" s="8"/>
    </row>
    <row r="15" spans="1:19" x14ac:dyDescent="0.15">
      <c r="A15" s="5">
        <v>43595</v>
      </c>
      <c r="B15" s="5" t="s">
        <v>8</v>
      </c>
      <c r="C15" s="18"/>
      <c r="D15" s="8"/>
      <c r="F15" s="18" t="s">
        <v>172</v>
      </c>
      <c r="G15" s="8">
        <v>41</v>
      </c>
      <c r="I15" s="17"/>
      <c r="J15" s="8"/>
      <c r="L15" s="17"/>
      <c r="M15" s="8"/>
      <c r="O15" s="17"/>
      <c r="P15" s="8"/>
      <c r="R15" s="17"/>
      <c r="S15" s="8"/>
    </row>
    <row r="16" spans="1:19" x14ac:dyDescent="0.15">
      <c r="A16" s="5"/>
      <c r="B16" s="5"/>
      <c r="C16" s="18"/>
      <c r="D16" s="8"/>
      <c r="F16" s="17" t="s">
        <v>15</v>
      </c>
      <c r="G16" s="8">
        <v>6</v>
      </c>
      <c r="I16" s="17"/>
      <c r="J16" s="8"/>
      <c r="L16" s="17"/>
      <c r="M16" s="8"/>
      <c r="O16" s="17"/>
      <c r="P16" s="8"/>
      <c r="R16" s="17"/>
      <c r="S16" s="8"/>
    </row>
    <row r="17" spans="1:19" x14ac:dyDescent="0.15">
      <c r="A17" s="5">
        <v>43596</v>
      </c>
      <c r="B17" s="5" t="s">
        <v>9</v>
      </c>
      <c r="C17" s="18"/>
      <c r="D17" s="8"/>
      <c r="F17" s="18"/>
      <c r="G17" s="8"/>
      <c r="I17" s="17"/>
      <c r="J17" s="8"/>
      <c r="L17" s="17"/>
      <c r="M17" s="8"/>
      <c r="O17" s="17"/>
      <c r="P17" s="8"/>
      <c r="R17" s="17"/>
      <c r="S17" s="8"/>
    </row>
    <row r="18" spans="1:19" x14ac:dyDescent="0.15">
      <c r="A18" s="5">
        <v>43597</v>
      </c>
      <c r="B18" s="5" t="s">
        <v>10</v>
      </c>
      <c r="C18" s="18"/>
      <c r="D18" s="8"/>
      <c r="F18" s="18"/>
      <c r="G18" s="8"/>
      <c r="I18" s="18"/>
      <c r="J18" s="8"/>
      <c r="L18" s="18"/>
      <c r="M18" s="8"/>
      <c r="O18" s="18"/>
      <c r="P18" s="8"/>
      <c r="R18" s="18"/>
      <c r="S18" s="8"/>
    </row>
    <row r="19" spans="1:19" x14ac:dyDescent="0.15">
      <c r="A19" s="5">
        <v>43598</v>
      </c>
      <c r="B19" s="5" t="s">
        <v>5</v>
      </c>
      <c r="C19" s="18"/>
      <c r="D19" s="8"/>
      <c r="F19" s="17" t="s">
        <v>15</v>
      </c>
      <c r="G19" s="8">
        <v>7.5</v>
      </c>
      <c r="I19" s="17" t="s">
        <v>20</v>
      </c>
      <c r="J19" s="8">
        <v>31</v>
      </c>
      <c r="L19" s="17"/>
      <c r="M19" s="8"/>
      <c r="O19" s="17"/>
      <c r="P19" s="8"/>
      <c r="R19" s="17"/>
      <c r="S19" s="8"/>
    </row>
    <row r="20" spans="1:19" x14ac:dyDescent="0.15">
      <c r="A20" s="5"/>
      <c r="B20" s="5"/>
      <c r="C20" s="18"/>
      <c r="D20" s="8"/>
      <c r="F20" s="17" t="s">
        <v>20</v>
      </c>
      <c r="G20" s="8">
        <v>31</v>
      </c>
      <c r="I20" s="18"/>
      <c r="J20" s="8"/>
      <c r="L20" s="17"/>
      <c r="M20" s="8"/>
      <c r="O20" s="17"/>
      <c r="P20" s="8"/>
      <c r="R20" s="17"/>
      <c r="S20" s="8"/>
    </row>
    <row r="21" spans="1:19" x14ac:dyDescent="0.15">
      <c r="A21" s="5">
        <v>43599</v>
      </c>
      <c r="B21" s="5" t="s">
        <v>4</v>
      </c>
      <c r="C21" s="18"/>
      <c r="D21" s="8"/>
      <c r="F21" s="17" t="s">
        <v>15</v>
      </c>
      <c r="G21" s="8">
        <v>6</v>
      </c>
      <c r="I21" s="17" t="s">
        <v>20</v>
      </c>
      <c r="J21" s="8">
        <v>38</v>
      </c>
      <c r="L21" s="18"/>
      <c r="M21" s="8"/>
      <c r="O21" s="17" t="s">
        <v>177</v>
      </c>
      <c r="P21" s="8">
        <v>9</v>
      </c>
      <c r="R21" s="17"/>
      <c r="S21" s="8"/>
    </row>
    <row r="22" spans="1:19" x14ac:dyDescent="0.15">
      <c r="A22" s="5"/>
      <c r="B22" s="5"/>
      <c r="C22" s="18"/>
      <c r="D22" s="8"/>
      <c r="F22" s="17" t="s">
        <v>20</v>
      </c>
      <c r="G22" s="8">
        <v>33</v>
      </c>
      <c r="I22" s="18" t="s">
        <v>173</v>
      </c>
      <c r="J22" s="8">
        <v>-200</v>
      </c>
      <c r="L22" s="18"/>
      <c r="M22" s="8"/>
      <c r="O22" s="18"/>
      <c r="P22" s="8"/>
      <c r="R22" s="18"/>
      <c r="S22" s="8"/>
    </row>
    <row r="23" spans="1:19" x14ac:dyDescent="0.15">
      <c r="A23" s="5">
        <v>43600</v>
      </c>
      <c r="B23" s="5" t="s">
        <v>6</v>
      </c>
      <c r="C23" s="18"/>
      <c r="D23" s="8"/>
      <c r="F23" s="17" t="s">
        <v>15</v>
      </c>
      <c r="G23" s="8">
        <v>6</v>
      </c>
      <c r="I23" s="18"/>
      <c r="J23" s="8"/>
      <c r="L23" s="18"/>
      <c r="M23" s="8"/>
      <c r="O23" s="18"/>
      <c r="P23" s="8"/>
      <c r="R23" s="18"/>
      <c r="S23" s="8"/>
    </row>
    <row r="24" spans="1:19" x14ac:dyDescent="0.15">
      <c r="A24" s="5"/>
      <c r="B24" s="5"/>
      <c r="C24" s="18"/>
      <c r="D24" s="8"/>
      <c r="F24" s="17" t="s">
        <v>20</v>
      </c>
      <c r="G24" s="8">
        <v>20</v>
      </c>
      <c r="I24" s="18"/>
      <c r="J24" s="8"/>
      <c r="L24" s="18"/>
      <c r="M24" s="8"/>
      <c r="O24" s="18"/>
      <c r="P24" s="8"/>
      <c r="R24" s="18"/>
      <c r="S24" s="8"/>
    </row>
    <row r="25" spans="1:19" x14ac:dyDescent="0.15">
      <c r="A25" s="5">
        <v>43601</v>
      </c>
      <c r="B25" s="5" t="s">
        <v>7</v>
      </c>
      <c r="C25" s="18"/>
      <c r="D25" s="8"/>
      <c r="F25" s="17" t="s">
        <v>15</v>
      </c>
      <c r="G25" s="8">
        <v>6</v>
      </c>
      <c r="I25" s="18"/>
      <c r="J25" s="8"/>
      <c r="L25" s="18"/>
      <c r="M25" s="8"/>
      <c r="O25" s="18"/>
      <c r="P25" s="8"/>
      <c r="R25" s="18"/>
      <c r="S25" s="8"/>
    </row>
    <row r="26" spans="1:19" x14ac:dyDescent="0.15">
      <c r="A26" s="5"/>
      <c r="B26" s="5"/>
      <c r="C26" s="18"/>
      <c r="D26" s="8"/>
      <c r="F26" s="17" t="s">
        <v>20</v>
      </c>
      <c r="G26" s="8">
        <v>-23</v>
      </c>
      <c r="I26" s="18"/>
      <c r="J26" s="8"/>
      <c r="L26" s="18"/>
      <c r="M26" s="8"/>
      <c r="O26" s="18"/>
      <c r="P26" s="8"/>
      <c r="R26" s="18"/>
      <c r="S26" s="8"/>
    </row>
    <row r="27" spans="1:19" x14ac:dyDescent="0.15">
      <c r="A27" s="5"/>
      <c r="B27" s="5"/>
      <c r="C27" s="18"/>
      <c r="D27" s="8"/>
      <c r="F27" s="17" t="s">
        <v>174</v>
      </c>
      <c r="G27" s="8">
        <v>-131</v>
      </c>
      <c r="I27" s="18"/>
      <c r="J27" s="8"/>
      <c r="L27" s="18"/>
      <c r="M27" s="8"/>
      <c r="O27" s="18"/>
      <c r="P27" s="8"/>
      <c r="R27" s="18"/>
      <c r="S27" s="8"/>
    </row>
    <row r="28" spans="1:19" x14ac:dyDescent="0.15">
      <c r="A28" s="5">
        <v>43602</v>
      </c>
      <c r="B28" s="5" t="s">
        <v>8</v>
      </c>
      <c r="C28" s="18"/>
      <c r="D28" s="8"/>
      <c r="F28" s="18"/>
      <c r="G28" s="8"/>
      <c r="I28" s="18"/>
      <c r="J28" s="8"/>
      <c r="L28" s="18"/>
      <c r="M28" s="8"/>
      <c r="O28" s="18"/>
      <c r="P28" s="8"/>
      <c r="R28" s="18"/>
      <c r="S28" s="8"/>
    </row>
    <row r="29" spans="1:19" x14ac:dyDescent="0.15">
      <c r="A29" s="5">
        <v>43603</v>
      </c>
      <c r="B29" s="5" t="s">
        <v>9</v>
      </c>
      <c r="C29" s="18"/>
      <c r="D29" s="8"/>
      <c r="F29" s="18"/>
      <c r="G29" s="8"/>
      <c r="I29" s="18"/>
      <c r="J29" s="8"/>
      <c r="L29" s="17"/>
      <c r="M29" s="8"/>
      <c r="O29" s="17"/>
      <c r="P29" s="8"/>
      <c r="R29" s="17"/>
      <c r="S29" s="8"/>
    </row>
    <row r="30" spans="1:19" x14ac:dyDescent="0.15">
      <c r="A30" s="5">
        <v>43604</v>
      </c>
      <c r="B30" s="5" t="s">
        <v>10</v>
      </c>
      <c r="C30" s="18"/>
      <c r="D30" s="8"/>
      <c r="F30" s="18"/>
      <c r="G30" s="8"/>
      <c r="I30" s="18"/>
      <c r="J30" s="8"/>
      <c r="L30" s="17"/>
      <c r="M30" s="8"/>
      <c r="O30" s="17"/>
      <c r="P30" s="8"/>
      <c r="R30" s="17"/>
      <c r="S30" s="8"/>
    </row>
    <row r="31" spans="1:19" x14ac:dyDescent="0.15">
      <c r="A31" s="5">
        <v>43605</v>
      </c>
      <c r="B31" s="5" t="s">
        <v>5</v>
      </c>
      <c r="C31" s="18"/>
      <c r="D31" s="8"/>
      <c r="F31" s="17" t="s">
        <v>15</v>
      </c>
      <c r="G31" s="8">
        <v>7.5</v>
      </c>
      <c r="I31" s="17" t="s">
        <v>20</v>
      </c>
      <c r="J31" s="8">
        <v>25</v>
      </c>
      <c r="L31" s="17"/>
      <c r="M31" s="8"/>
      <c r="O31" s="17" t="s">
        <v>176</v>
      </c>
      <c r="P31" s="8">
        <v>-6</v>
      </c>
      <c r="R31" s="17"/>
      <c r="S31" s="8"/>
    </row>
    <row r="32" spans="1:19" x14ac:dyDescent="0.15">
      <c r="A32" s="5"/>
      <c r="B32" s="5"/>
      <c r="C32" s="18"/>
      <c r="D32" s="8"/>
      <c r="F32" s="17" t="s">
        <v>20</v>
      </c>
      <c r="G32" s="8">
        <v>20</v>
      </c>
      <c r="I32" s="18"/>
      <c r="J32" s="8"/>
      <c r="L32" s="17"/>
      <c r="M32" s="8"/>
      <c r="O32" s="17" t="s">
        <v>176</v>
      </c>
      <c r="P32" s="8">
        <v>-6</v>
      </c>
      <c r="R32" s="17"/>
      <c r="S32" s="8"/>
    </row>
    <row r="33" spans="1:19" x14ac:dyDescent="0.15">
      <c r="A33" s="5">
        <v>43606</v>
      </c>
      <c r="B33" s="5" t="s">
        <v>4</v>
      </c>
      <c r="C33" s="18"/>
      <c r="D33" s="8"/>
      <c r="F33" s="17" t="s">
        <v>20</v>
      </c>
      <c r="G33" s="8">
        <v>10.5</v>
      </c>
      <c r="I33" s="17" t="s">
        <v>20</v>
      </c>
      <c r="J33" s="8">
        <v>-18</v>
      </c>
      <c r="L33" s="17"/>
      <c r="M33" s="8"/>
      <c r="O33" s="17" t="s">
        <v>177</v>
      </c>
      <c r="P33" s="8">
        <v>9</v>
      </c>
      <c r="R33" s="17"/>
      <c r="S33" s="8"/>
    </row>
    <row r="34" spans="1:19" x14ac:dyDescent="0.15">
      <c r="A34" s="5"/>
      <c r="B34" s="5"/>
      <c r="C34" s="18"/>
      <c r="D34" s="8"/>
      <c r="F34" s="17" t="s">
        <v>176</v>
      </c>
      <c r="G34" s="8">
        <v>6</v>
      </c>
      <c r="I34" s="17" t="s">
        <v>20</v>
      </c>
      <c r="J34" s="8">
        <v>-10.5</v>
      </c>
      <c r="L34" s="17"/>
      <c r="M34" s="8"/>
      <c r="O34" s="17"/>
      <c r="P34" s="8"/>
      <c r="R34" s="17"/>
      <c r="S34" s="8"/>
    </row>
    <row r="35" spans="1:19" x14ac:dyDescent="0.15">
      <c r="A35" s="5">
        <v>43607</v>
      </c>
      <c r="B35" s="5" t="s">
        <v>6</v>
      </c>
      <c r="C35" s="18"/>
      <c r="D35" s="8"/>
      <c r="F35" s="17" t="s">
        <v>15</v>
      </c>
      <c r="G35" s="8">
        <v>6</v>
      </c>
      <c r="I35" s="18"/>
      <c r="J35" s="8"/>
      <c r="L35" s="18"/>
      <c r="M35" s="8"/>
      <c r="O35" s="17" t="s">
        <v>15</v>
      </c>
      <c r="P35" s="8">
        <v>-6</v>
      </c>
      <c r="R35" s="17"/>
      <c r="S35" s="8"/>
    </row>
    <row r="36" spans="1:19" x14ac:dyDescent="0.15">
      <c r="A36" s="5"/>
      <c r="B36" s="5"/>
      <c r="C36" s="18"/>
      <c r="D36" s="8"/>
      <c r="F36" s="17"/>
      <c r="G36" s="8"/>
      <c r="I36" s="18"/>
      <c r="J36" s="8"/>
      <c r="L36" s="18"/>
      <c r="M36" s="8"/>
      <c r="O36" s="17" t="s">
        <v>178</v>
      </c>
      <c r="P36" s="8">
        <v>6</v>
      </c>
      <c r="R36" s="17"/>
      <c r="S36" s="8"/>
    </row>
    <row r="37" spans="1:19" x14ac:dyDescent="0.15">
      <c r="A37" s="5">
        <v>43608</v>
      </c>
      <c r="B37" s="5" t="s">
        <v>7</v>
      </c>
      <c r="C37" s="18"/>
      <c r="D37" s="8"/>
      <c r="F37" s="17" t="s">
        <v>15</v>
      </c>
      <c r="G37" s="8">
        <v>6</v>
      </c>
      <c r="I37" s="17" t="s">
        <v>179</v>
      </c>
      <c r="J37" s="8">
        <v>47</v>
      </c>
      <c r="L37" s="18"/>
      <c r="M37" s="8"/>
      <c r="O37" s="17" t="s">
        <v>15</v>
      </c>
      <c r="P37" s="8">
        <v>-12</v>
      </c>
      <c r="R37" s="17"/>
      <c r="S37" s="8"/>
    </row>
    <row r="38" spans="1:19" x14ac:dyDescent="0.15">
      <c r="A38" s="5"/>
      <c r="B38" s="5"/>
      <c r="C38" s="18"/>
      <c r="D38" s="8"/>
      <c r="F38" s="17" t="s">
        <v>179</v>
      </c>
      <c r="G38" s="8">
        <v>42</v>
      </c>
      <c r="I38" s="18"/>
      <c r="J38" s="8"/>
      <c r="L38" s="18"/>
      <c r="M38" s="8"/>
      <c r="O38" s="17" t="s">
        <v>181</v>
      </c>
      <c r="P38" s="8">
        <v>13</v>
      </c>
      <c r="R38" s="17"/>
      <c r="S38" s="8"/>
    </row>
    <row r="39" spans="1:19" x14ac:dyDescent="0.15">
      <c r="A39" s="5"/>
      <c r="B39" s="5"/>
      <c r="C39" s="18"/>
      <c r="D39" s="8"/>
      <c r="F39" s="17" t="s">
        <v>183</v>
      </c>
      <c r="G39" s="8">
        <v>-114</v>
      </c>
      <c r="I39" s="18"/>
      <c r="J39" s="8"/>
      <c r="L39" s="18"/>
      <c r="M39" s="8"/>
      <c r="O39" s="17"/>
      <c r="P39" s="8"/>
      <c r="R39" s="17"/>
      <c r="S39" s="8"/>
    </row>
    <row r="40" spans="1:19" x14ac:dyDescent="0.15">
      <c r="A40" s="5">
        <v>43609</v>
      </c>
      <c r="B40" s="5" t="s">
        <v>8</v>
      </c>
      <c r="C40" s="18"/>
      <c r="D40" s="8"/>
      <c r="F40" s="17" t="s">
        <v>15</v>
      </c>
      <c r="G40" s="8">
        <v>17.5</v>
      </c>
      <c r="I40" s="18"/>
      <c r="J40" s="8"/>
      <c r="L40" s="18"/>
      <c r="M40" s="8"/>
      <c r="O40" s="17" t="s">
        <v>126</v>
      </c>
      <c r="P40" s="8">
        <v>9</v>
      </c>
      <c r="R40" s="17"/>
      <c r="S40" s="8"/>
    </row>
    <row r="41" spans="1:19" x14ac:dyDescent="0.15">
      <c r="A41" s="5">
        <v>43610</v>
      </c>
      <c r="B41" s="5" t="s">
        <v>9</v>
      </c>
      <c r="C41" s="18"/>
      <c r="D41" s="8"/>
      <c r="F41" s="17" t="s">
        <v>15</v>
      </c>
      <c r="G41" s="8">
        <v>6</v>
      </c>
      <c r="I41" s="18"/>
      <c r="J41" s="8"/>
      <c r="L41" s="18"/>
      <c r="M41" s="8"/>
      <c r="O41" s="18"/>
      <c r="P41" s="8"/>
      <c r="R41" s="18"/>
      <c r="S41" s="8"/>
    </row>
    <row r="42" spans="1:19" x14ac:dyDescent="0.15">
      <c r="A42" s="5">
        <v>43611</v>
      </c>
      <c r="B42" s="5" t="s">
        <v>10</v>
      </c>
      <c r="C42" s="18"/>
      <c r="D42" s="8"/>
      <c r="F42" s="18"/>
      <c r="G42" s="8"/>
      <c r="I42" s="18"/>
      <c r="J42" s="8"/>
      <c r="L42" s="17"/>
      <c r="M42" s="8"/>
      <c r="O42" s="17"/>
      <c r="P42" s="8"/>
      <c r="R42" s="17"/>
      <c r="S42" s="8"/>
    </row>
    <row r="43" spans="1:19" x14ac:dyDescent="0.15">
      <c r="A43" s="5">
        <v>43612</v>
      </c>
      <c r="B43" s="5" t="s">
        <v>5</v>
      </c>
      <c r="C43" s="18"/>
      <c r="D43" s="8"/>
      <c r="F43" s="17" t="s">
        <v>15</v>
      </c>
      <c r="G43" s="8">
        <v>6</v>
      </c>
      <c r="I43" s="17" t="s">
        <v>186</v>
      </c>
      <c r="J43" s="8">
        <f>35*0.8</f>
        <v>28</v>
      </c>
      <c r="L43" s="17"/>
      <c r="M43" s="8"/>
      <c r="O43" s="17" t="s">
        <v>185</v>
      </c>
      <c r="P43" s="8">
        <v>19</v>
      </c>
      <c r="R43" s="17"/>
      <c r="S43" s="8"/>
    </row>
    <row r="44" spans="1:19" x14ac:dyDescent="0.15">
      <c r="A44" s="5"/>
      <c r="B44" s="5"/>
      <c r="C44" s="18"/>
      <c r="D44" s="8"/>
      <c r="F44" s="17" t="s">
        <v>186</v>
      </c>
      <c r="G44" s="8">
        <f>38*0.8</f>
        <v>30.400000000000002</v>
      </c>
      <c r="I44" s="18"/>
      <c r="J44" s="8"/>
      <c r="L44" s="17"/>
      <c r="M44" s="8"/>
      <c r="O44" s="17"/>
      <c r="P44" s="8"/>
      <c r="R44" s="17"/>
      <c r="S44" s="8"/>
    </row>
    <row r="45" spans="1:19" x14ac:dyDescent="0.15">
      <c r="A45" s="5">
        <v>43613</v>
      </c>
      <c r="B45" s="5" t="s">
        <v>4</v>
      </c>
      <c r="C45" s="18"/>
      <c r="D45" s="8"/>
      <c r="F45" s="17" t="s">
        <v>15</v>
      </c>
      <c r="G45" s="8">
        <v>6</v>
      </c>
      <c r="I45" s="18"/>
      <c r="J45" s="8"/>
      <c r="L45" s="18"/>
      <c r="M45" s="8"/>
      <c r="O45" s="17" t="s">
        <v>126</v>
      </c>
      <c r="P45" s="8">
        <v>9</v>
      </c>
      <c r="R45" s="17" t="s">
        <v>126</v>
      </c>
      <c r="S45" s="8">
        <v>14</v>
      </c>
    </row>
    <row r="46" spans="1:19" x14ac:dyDescent="0.15">
      <c r="A46" s="5">
        <v>43614</v>
      </c>
      <c r="B46" s="5" t="s">
        <v>6</v>
      </c>
      <c r="C46" s="18"/>
      <c r="D46" s="8"/>
      <c r="F46" s="18"/>
      <c r="G46" s="8"/>
      <c r="I46" s="18"/>
      <c r="J46" s="8"/>
      <c r="L46" s="18"/>
      <c r="M46" s="8"/>
      <c r="O46" s="18"/>
      <c r="P46" s="8"/>
      <c r="R46" s="18"/>
      <c r="S46" s="8"/>
    </row>
    <row r="47" spans="1:19" x14ac:dyDescent="0.15">
      <c r="A47" s="5">
        <v>43615</v>
      </c>
      <c r="B47" s="5" t="s">
        <v>7</v>
      </c>
      <c r="C47" s="18"/>
      <c r="D47" s="8"/>
      <c r="F47" s="17" t="s">
        <v>126</v>
      </c>
      <c r="G47" s="8">
        <v>8</v>
      </c>
      <c r="I47" s="18"/>
      <c r="J47" s="8"/>
      <c r="L47" s="18"/>
      <c r="M47" s="8"/>
      <c r="O47" s="17" t="s">
        <v>126</v>
      </c>
      <c r="P47" s="8">
        <v>3</v>
      </c>
      <c r="R47" s="17" t="s">
        <v>126</v>
      </c>
      <c r="S47" s="8">
        <v>6</v>
      </c>
    </row>
    <row r="48" spans="1:19" x14ac:dyDescent="0.15">
      <c r="A48" s="5">
        <v>43616</v>
      </c>
      <c r="B48" s="5" t="s">
        <v>8</v>
      </c>
      <c r="F48" t="s">
        <v>190</v>
      </c>
      <c r="G48" s="33">
        <v>-73</v>
      </c>
      <c r="I48" t="s">
        <v>190</v>
      </c>
      <c r="J48">
        <v>73</v>
      </c>
    </row>
    <row r="49" spans="2:2" x14ac:dyDescent="0.15">
      <c r="B49" s="5"/>
    </row>
    <row r="50" spans="2:2" x14ac:dyDescent="0.15">
      <c r="B50" s="5"/>
    </row>
  </sheetData>
  <mergeCells count="12">
    <mergeCell ref="R1:S1"/>
    <mergeCell ref="R2:S2"/>
    <mergeCell ref="O1:P1"/>
    <mergeCell ref="O2:P2"/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17" workbookViewId="0">
      <selection activeCell="M39" sqref="M39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SUM(D3:D39)</f>
        <v>0</v>
      </c>
      <c r="D2" s="43"/>
      <c r="E2" s="3"/>
      <c r="F2" s="42">
        <f>SUM(G3:G39)</f>
        <v>-232.90000000000003</v>
      </c>
      <c r="G2" s="43"/>
      <c r="H2" s="14"/>
      <c r="I2" s="42">
        <f>SUM(J3:J39)</f>
        <v>-256</v>
      </c>
      <c r="J2" s="43"/>
      <c r="K2" s="14"/>
      <c r="L2" s="42">
        <f>SUM(M3:M39)</f>
        <v>-142</v>
      </c>
      <c r="M2" s="43"/>
    </row>
    <row r="3" spans="1:13" x14ac:dyDescent="0.15">
      <c r="A3" s="5">
        <v>43556</v>
      </c>
      <c r="B3" s="5" t="s">
        <v>5</v>
      </c>
      <c r="C3" s="17"/>
      <c r="D3" s="8"/>
      <c r="F3" s="17" t="s">
        <v>162</v>
      </c>
      <c r="G3" s="8">
        <v>6</v>
      </c>
      <c r="H3" s="15"/>
      <c r="I3" s="17" t="s">
        <v>20</v>
      </c>
      <c r="J3" s="8">
        <v>42</v>
      </c>
      <c r="K3" s="15"/>
      <c r="L3" s="18"/>
      <c r="M3" s="8"/>
    </row>
    <row r="4" spans="1:13" x14ac:dyDescent="0.15">
      <c r="A4" s="5"/>
      <c r="B4" s="5"/>
      <c r="C4" s="17"/>
      <c r="D4" s="8"/>
      <c r="F4" s="17" t="s">
        <v>20</v>
      </c>
      <c r="G4" s="8">
        <v>80</v>
      </c>
      <c r="H4" s="15"/>
      <c r="I4" s="17"/>
      <c r="J4" s="8"/>
      <c r="K4" s="15"/>
      <c r="L4" s="18"/>
      <c r="M4" s="8"/>
    </row>
    <row r="5" spans="1:13" x14ac:dyDescent="0.15">
      <c r="A5" s="5">
        <v>43557</v>
      </c>
      <c r="B5" s="5" t="s">
        <v>4</v>
      </c>
      <c r="C5" s="18"/>
      <c r="D5" s="8"/>
      <c r="F5" s="17" t="s">
        <v>65</v>
      </c>
      <c r="G5" s="8">
        <v>6</v>
      </c>
      <c r="I5" s="17"/>
      <c r="J5" s="8"/>
      <c r="L5" s="17"/>
      <c r="M5" s="8"/>
    </row>
    <row r="6" spans="1:13" x14ac:dyDescent="0.15">
      <c r="A6" s="5"/>
      <c r="B6" s="5"/>
      <c r="C6" s="18"/>
      <c r="D6" s="8"/>
      <c r="F6" s="17" t="s">
        <v>20</v>
      </c>
      <c r="G6" s="8">
        <v>-29</v>
      </c>
      <c r="I6" s="18"/>
      <c r="J6" s="8"/>
      <c r="L6" s="17"/>
      <c r="M6" s="8"/>
    </row>
    <row r="7" spans="1:13" x14ac:dyDescent="0.15">
      <c r="A7" s="5">
        <v>43558</v>
      </c>
      <c r="B7" s="5" t="s">
        <v>6</v>
      </c>
      <c r="C7" s="18"/>
      <c r="D7" s="8"/>
      <c r="F7" s="17" t="s">
        <v>15</v>
      </c>
      <c r="G7" s="8">
        <v>6</v>
      </c>
      <c r="I7" s="18"/>
      <c r="J7" s="8"/>
      <c r="L7" s="17"/>
      <c r="M7" s="8"/>
    </row>
    <row r="8" spans="1:13" x14ac:dyDescent="0.15">
      <c r="A8" s="5"/>
      <c r="B8" s="5"/>
      <c r="C8" s="18"/>
      <c r="D8" s="8"/>
      <c r="F8" s="17" t="s">
        <v>111</v>
      </c>
      <c r="G8" s="8">
        <v>66</v>
      </c>
      <c r="I8" s="18"/>
      <c r="J8" s="8"/>
      <c r="L8" s="17"/>
      <c r="M8" s="8"/>
    </row>
    <row r="9" spans="1:13" x14ac:dyDescent="0.15">
      <c r="A9" s="5">
        <v>43559</v>
      </c>
      <c r="B9" s="5" t="s">
        <v>7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43560</v>
      </c>
      <c r="B10" s="5" t="s">
        <v>8</v>
      </c>
      <c r="C10" s="18"/>
      <c r="D10" s="8"/>
      <c r="F10" s="18"/>
      <c r="G10" s="8"/>
      <c r="I10" s="18"/>
      <c r="J10" s="8"/>
      <c r="L10" s="17"/>
      <c r="M10" s="8"/>
    </row>
    <row r="11" spans="1:13" x14ac:dyDescent="0.15">
      <c r="A11" s="5">
        <v>43561</v>
      </c>
      <c r="B11" s="5" t="s">
        <v>9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43562</v>
      </c>
      <c r="B12" s="5" t="s">
        <v>10</v>
      </c>
      <c r="C12" s="18"/>
      <c r="D12" s="8"/>
      <c r="F12" s="17" t="s">
        <v>111</v>
      </c>
      <c r="G12" s="8">
        <v>87</v>
      </c>
      <c r="I12" s="18"/>
      <c r="J12" s="8"/>
      <c r="L12" s="17"/>
      <c r="M12" s="8"/>
    </row>
    <row r="13" spans="1:13" x14ac:dyDescent="0.15">
      <c r="A13" s="5">
        <v>43563</v>
      </c>
      <c r="B13" s="5" t="s">
        <v>5</v>
      </c>
      <c r="C13" s="18"/>
      <c r="D13" s="8"/>
      <c r="F13" s="18"/>
      <c r="G13" s="8"/>
      <c r="I13" s="18"/>
      <c r="J13" s="8"/>
      <c r="L13" s="17"/>
      <c r="M13" s="8"/>
    </row>
    <row r="14" spans="1:13" x14ac:dyDescent="0.15">
      <c r="A14" s="5">
        <v>43564</v>
      </c>
      <c r="B14" s="5" t="s">
        <v>4</v>
      </c>
      <c r="C14" s="18"/>
      <c r="D14" s="8"/>
      <c r="F14" s="18"/>
      <c r="G14" s="8"/>
      <c r="I14" s="18"/>
      <c r="J14" s="8"/>
      <c r="L14" s="17"/>
      <c r="M14" s="8"/>
    </row>
    <row r="15" spans="1:13" x14ac:dyDescent="0.15">
      <c r="A15" s="5">
        <v>43565</v>
      </c>
      <c r="B15" s="5" t="s">
        <v>6</v>
      </c>
      <c r="C15" s="18"/>
      <c r="D15" s="8"/>
      <c r="F15" s="18" t="s">
        <v>163</v>
      </c>
      <c r="G15" s="8">
        <v>6</v>
      </c>
      <c r="I15" s="17" t="s">
        <v>20</v>
      </c>
      <c r="J15" s="8">
        <v>27</v>
      </c>
      <c r="L15" s="17"/>
      <c r="M15" s="8"/>
    </row>
    <row r="16" spans="1:13" x14ac:dyDescent="0.15">
      <c r="A16" s="5">
        <v>43566</v>
      </c>
      <c r="B16" s="5" t="s">
        <v>7</v>
      </c>
      <c r="C16" s="18"/>
      <c r="D16" s="8"/>
      <c r="F16" s="18" t="s">
        <v>15</v>
      </c>
      <c r="G16" s="8">
        <v>6</v>
      </c>
      <c r="I16" s="17" t="s">
        <v>20</v>
      </c>
      <c r="J16" s="8">
        <v>40</v>
      </c>
      <c r="L16" s="17"/>
      <c r="M16" s="8"/>
    </row>
    <row r="17" spans="1:13" x14ac:dyDescent="0.15">
      <c r="A17" s="5"/>
      <c r="B17" s="5"/>
      <c r="C17" s="18"/>
      <c r="D17" s="8"/>
      <c r="F17" s="17" t="s">
        <v>20</v>
      </c>
      <c r="G17" s="8">
        <v>40</v>
      </c>
      <c r="I17" s="18"/>
      <c r="J17" s="8"/>
      <c r="L17" s="17"/>
      <c r="M17" s="8"/>
    </row>
    <row r="18" spans="1:13" x14ac:dyDescent="0.15">
      <c r="A18" s="5"/>
      <c r="B18" s="5"/>
      <c r="C18" s="18"/>
      <c r="D18" s="8"/>
      <c r="F18" s="17" t="s">
        <v>111</v>
      </c>
      <c r="G18" s="8">
        <v>125.3</v>
      </c>
      <c r="I18" s="18"/>
      <c r="J18" s="8"/>
      <c r="L18" s="17"/>
      <c r="M18" s="8"/>
    </row>
    <row r="19" spans="1:13" x14ac:dyDescent="0.15">
      <c r="A19" s="5">
        <v>43567</v>
      </c>
      <c r="B19" s="5" t="s">
        <v>8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43568</v>
      </c>
      <c r="B20" s="5" t="s">
        <v>9</v>
      </c>
      <c r="C20" s="18"/>
      <c r="D20" s="8"/>
      <c r="F20" s="18"/>
      <c r="G20" s="8"/>
      <c r="I20" s="18"/>
      <c r="J20" s="8"/>
      <c r="L20" s="17"/>
      <c r="M20" s="8"/>
    </row>
    <row r="21" spans="1:13" x14ac:dyDescent="0.15">
      <c r="A21" s="5">
        <v>43569</v>
      </c>
      <c r="B21" s="5" t="s">
        <v>10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43570</v>
      </c>
      <c r="B22" s="5" t="s">
        <v>5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43571</v>
      </c>
      <c r="B23" s="5" t="s">
        <v>4</v>
      </c>
      <c r="C23" s="18"/>
      <c r="D23" s="8"/>
      <c r="F23" s="18"/>
      <c r="G23" s="8"/>
      <c r="I23" s="18"/>
      <c r="J23" s="8"/>
      <c r="L23" s="18"/>
      <c r="M23" s="8"/>
    </row>
    <row r="24" spans="1:13" x14ac:dyDescent="0.15">
      <c r="A24" s="5">
        <v>43572</v>
      </c>
      <c r="B24" s="5" t="s">
        <v>6</v>
      </c>
      <c r="C24" s="18"/>
      <c r="D24" s="8"/>
      <c r="F24" s="18"/>
      <c r="G24" s="8"/>
      <c r="I24" s="18"/>
      <c r="J24" s="8"/>
      <c r="L24" s="18"/>
      <c r="M24" s="8"/>
    </row>
    <row r="25" spans="1:13" x14ac:dyDescent="0.15">
      <c r="A25" s="5">
        <v>43573</v>
      </c>
      <c r="B25" s="5" t="s">
        <v>7</v>
      </c>
      <c r="C25" s="18"/>
      <c r="D25" s="8"/>
      <c r="F25" s="18"/>
      <c r="G25" s="8"/>
      <c r="I25" s="18"/>
      <c r="J25" s="8"/>
      <c r="L25" s="17"/>
      <c r="M25" s="8"/>
    </row>
    <row r="26" spans="1:13" x14ac:dyDescent="0.15">
      <c r="A26" s="5">
        <v>43574</v>
      </c>
      <c r="B26" s="5" t="s">
        <v>8</v>
      </c>
      <c r="C26" s="18"/>
      <c r="D26" s="8"/>
      <c r="F26" s="18"/>
      <c r="G26" s="8"/>
      <c r="I26" s="18"/>
      <c r="J26" s="8"/>
      <c r="L26" s="17"/>
      <c r="M26" s="8"/>
    </row>
    <row r="27" spans="1:13" x14ac:dyDescent="0.15">
      <c r="A27" s="5">
        <v>43575</v>
      </c>
      <c r="B27" s="5" t="s">
        <v>9</v>
      </c>
      <c r="C27" s="18"/>
      <c r="D27" s="8"/>
      <c r="F27" s="18"/>
      <c r="G27" s="8"/>
      <c r="I27" s="18" t="s">
        <v>130</v>
      </c>
      <c r="J27" s="8">
        <v>-200</v>
      </c>
      <c r="L27" s="17"/>
      <c r="M27" s="8"/>
    </row>
    <row r="28" spans="1:13" x14ac:dyDescent="0.15">
      <c r="A28" s="5"/>
      <c r="B28" s="5"/>
      <c r="C28" s="18"/>
      <c r="D28" s="8"/>
      <c r="F28" s="18"/>
      <c r="G28" s="8"/>
      <c r="I28" s="18" t="s">
        <v>164</v>
      </c>
      <c r="J28" s="8">
        <v>16</v>
      </c>
      <c r="L28" s="17"/>
      <c r="M28" s="8"/>
    </row>
    <row r="29" spans="1:13" x14ac:dyDescent="0.15">
      <c r="A29" s="5">
        <v>43576</v>
      </c>
      <c r="B29" s="5" t="s">
        <v>10</v>
      </c>
      <c r="C29" s="18"/>
      <c r="D29" s="8"/>
      <c r="F29" s="18"/>
      <c r="G29" s="8"/>
      <c r="I29" s="18"/>
      <c r="J29" s="8"/>
      <c r="L29" s="17"/>
      <c r="M29" s="8"/>
    </row>
    <row r="30" spans="1:13" x14ac:dyDescent="0.15">
      <c r="A30" s="5">
        <v>43577</v>
      </c>
      <c r="B30" s="5" t="s">
        <v>5</v>
      </c>
      <c r="C30" s="18"/>
      <c r="D30" s="8"/>
      <c r="F30" s="18" t="s">
        <v>27</v>
      </c>
      <c r="G30" s="8">
        <v>-638.20000000000005</v>
      </c>
      <c r="I30" s="18"/>
      <c r="J30" s="8"/>
      <c r="L30" s="18"/>
      <c r="M30" s="8"/>
    </row>
    <row r="31" spans="1:13" x14ac:dyDescent="0.15">
      <c r="A31" s="5">
        <v>43578</v>
      </c>
      <c r="B31" s="5" t="s">
        <v>4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43579</v>
      </c>
      <c r="B32" s="5" t="s">
        <v>6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43580</v>
      </c>
      <c r="B33" s="5" t="s">
        <v>7</v>
      </c>
      <c r="C33" s="18"/>
      <c r="D33" s="8"/>
      <c r="F33" s="18"/>
      <c r="G33" s="8"/>
      <c r="I33" s="18"/>
      <c r="J33" s="8"/>
      <c r="L33" s="18"/>
      <c r="M33" s="8"/>
    </row>
    <row r="34" spans="1:13" x14ac:dyDescent="0.15">
      <c r="A34" s="5">
        <v>43581</v>
      </c>
      <c r="B34" s="5" t="s">
        <v>8</v>
      </c>
      <c r="C34" s="18"/>
      <c r="D34" s="8"/>
      <c r="F34" s="18"/>
      <c r="G34" s="8"/>
      <c r="I34" s="18"/>
      <c r="J34" s="8"/>
      <c r="L34" s="17" t="s">
        <v>165</v>
      </c>
      <c r="M34" s="8">
        <v>-150</v>
      </c>
    </row>
    <row r="35" spans="1:13" x14ac:dyDescent="0.15">
      <c r="A35" s="5"/>
      <c r="B35" s="5"/>
      <c r="C35" s="18"/>
      <c r="D35" s="8"/>
      <c r="F35" s="18"/>
      <c r="G35" s="8"/>
      <c r="I35" s="18"/>
      <c r="J35" s="8"/>
      <c r="L35" s="17" t="s">
        <v>166</v>
      </c>
      <c r="M35" s="8">
        <v>8</v>
      </c>
    </row>
    <row r="36" spans="1:13" x14ac:dyDescent="0.15">
      <c r="A36" s="5">
        <v>43582</v>
      </c>
      <c r="B36" s="5" t="s">
        <v>9</v>
      </c>
      <c r="C36" s="18"/>
      <c r="D36" s="8"/>
      <c r="F36" s="18"/>
      <c r="G36" s="8"/>
      <c r="I36" s="18"/>
      <c r="J36" s="8"/>
      <c r="L36" s="17"/>
      <c r="M36" s="8"/>
    </row>
    <row r="37" spans="1:13" x14ac:dyDescent="0.15">
      <c r="A37" s="5">
        <v>43583</v>
      </c>
      <c r="B37" s="5" t="s">
        <v>10</v>
      </c>
      <c r="C37" s="18"/>
      <c r="D37" s="8"/>
      <c r="F37" s="18"/>
      <c r="G37" s="8"/>
      <c r="I37" s="18"/>
      <c r="J37" s="8"/>
      <c r="L37" s="18"/>
      <c r="M37" s="8"/>
    </row>
    <row r="38" spans="1:13" x14ac:dyDescent="0.15">
      <c r="A38" s="5">
        <v>43584</v>
      </c>
      <c r="B38" s="5" t="s">
        <v>5</v>
      </c>
      <c r="C38" s="18"/>
      <c r="D38" s="8"/>
      <c r="F38" s="18"/>
      <c r="G38" s="8"/>
      <c r="I38" s="18"/>
      <c r="J38" s="8"/>
      <c r="L38" s="18"/>
      <c r="M38" s="8"/>
    </row>
    <row r="39" spans="1:13" x14ac:dyDescent="0.15">
      <c r="A39" s="5">
        <v>43585</v>
      </c>
      <c r="B39" s="5" t="s">
        <v>4</v>
      </c>
      <c r="C39" s="18"/>
      <c r="D39" s="8"/>
      <c r="F39" s="18" t="s">
        <v>15</v>
      </c>
      <c r="G39" s="8">
        <v>6</v>
      </c>
      <c r="I39" s="18" t="s">
        <v>130</v>
      </c>
      <c r="J39" s="8">
        <v>-181</v>
      </c>
      <c r="L39" s="18"/>
      <c r="M39" s="8"/>
    </row>
    <row r="40" spans="1:13" x14ac:dyDescent="0.15">
      <c r="B40" s="5"/>
    </row>
    <row r="41" spans="1:13" x14ac:dyDescent="0.15">
      <c r="B41" s="5"/>
    </row>
    <row r="42" spans="1:13" x14ac:dyDescent="0.15">
      <c r="B42" s="5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5" workbookViewId="0">
      <selection activeCell="G32" sqref="G32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SUM(G3:G33)</f>
        <v>208</v>
      </c>
      <c r="G2" s="43"/>
      <c r="H2" s="14"/>
      <c r="I2" s="42">
        <f>SUM(J3:J33)</f>
        <v>151</v>
      </c>
      <c r="J2" s="43"/>
      <c r="K2" s="14"/>
      <c r="L2" s="42">
        <f>SUM(M3:M33)</f>
        <v>0</v>
      </c>
      <c r="M2" s="43"/>
    </row>
    <row r="3" spans="1:13" x14ac:dyDescent="0.15">
      <c r="A3" s="5">
        <v>43525</v>
      </c>
      <c r="B3" s="5" t="s">
        <v>8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43526</v>
      </c>
      <c r="B4" s="5" t="s">
        <v>9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43527</v>
      </c>
      <c r="B5" s="5" t="s">
        <v>10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43528</v>
      </c>
      <c r="B6" s="5" t="s">
        <v>5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43529</v>
      </c>
      <c r="B7" s="5" t="s">
        <v>4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43530</v>
      </c>
      <c r="B8" s="5" t="s">
        <v>6</v>
      </c>
      <c r="C8" s="18"/>
      <c r="D8" s="8"/>
      <c r="F8" s="18"/>
      <c r="G8" s="8"/>
      <c r="I8" s="18"/>
      <c r="J8" s="8"/>
      <c r="L8" s="17"/>
      <c r="M8" s="8"/>
    </row>
    <row r="9" spans="1:13" x14ac:dyDescent="0.15">
      <c r="A9" s="5">
        <v>43531</v>
      </c>
      <c r="B9" s="5" t="s">
        <v>7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43532</v>
      </c>
      <c r="B10" s="5" t="s">
        <v>8</v>
      </c>
      <c r="C10" s="18"/>
      <c r="D10" s="8"/>
      <c r="F10" s="18"/>
      <c r="G10" s="8"/>
      <c r="I10" s="18"/>
      <c r="J10" s="8"/>
      <c r="L10" s="17"/>
      <c r="M10" s="8"/>
    </row>
    <row r="11" spans="1:13" x14ac:dyDescent="0.15">
      <c r="A11" s="5">
        <v>43533</v>
      </c>
      <c r="B11" s="5" t="s">
        <v>9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43534</v>
      </c>
      <c r="B12" s="5" t="s">
        <v>10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43535</v>
      </c>
      <c r="B13" s="5" t="s">
        <v>5</v>
      </c>
      <c r="C13" s="18"/>
      <c r="D13" s="8"/>
      <c r="F13" s="18"/>
      <c r="G13" s="8"/>
      <c r="I13" s="18" t="s">
        <v>20</v>
      </c>
      <c r="J13" s="8">
        <v>42</v>
      </c>
      <c r="L13" s="17"/>
      <c r="M13" s="8"/>
    </row>
    <row r="14" spans="1:13" x14ac:dyDescent="0.15">
      <c r="A14" s="5">
        <v>43536</v>
      </c>
      <c r="B14" s="5" t="s">
        <v>4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43537</v>
      </c>
      <c r="B15" s="5" t="s">
        <v>6</v>
      </c>
      <c r="C15" s="18"/>
      <c r="D15" s="8"/>
      <c r="F15" s="18"/>
      <c r="G15" s="8"/>
      <c r="I15" s="18"/>
      <c r="J15" s="8"/>
      <c r="L15" s="17"/>
      <c r="M15" s="8"/>
    </row>
    <row r="16" spans="1:13" x14ac:dyDescent="0.15">
      <c r="A16" s="5">
        <v>43538</v>
      </c>
      <c r="B16" s="5" t="s">
        <v>7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43539</v>
      </c>
      <c r="B17" s="5" t="s">
        <v>8</v>
      </c>
      <c r="C17" s="18"/>
      <c r="D17" s="8"/>
      <c r="F17" s="18"/>
      <c r="G17" s="8"/>
      <c r="I17" s="18" t="s">
        <v>159</v>
      </c>
      <c r="J17" s="8">
        <v>69</v>
      </c>
      <c r="L17" s="18"/>
      <c r="M17" s="8"/>
    </row>
    <row r="18" spans="1:13" x14ac:dyDescent="0.15">
      <c r="A18" s="5">
        <v>43540</v>
      </c>
      <c r="B18" s="5" t="s">
        <v>9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43541</v>
      </c>
      <c r="B19" s="5" t="s">
        <v>10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43542</v>
      </c>
      <c r="B20" s="5" t="s">
        <v>5</v>
      </c>
      <c r="C20" s="18"/>
      <c r="D20" s="8"/>
      <c r="F20" s="18"/>
      <c r="G20" s="8"/>
      <c r="I20" s="18" t="s">
        <v>20</v>
      </c>
      <c r="J20" s="8">
        <v>40</v>
      </c>
      <c r="L20" s="17"/>
      <c r="M20" s="8"/>
    </row>
    <row r="21" spans="1:13" x14ac:dyDescent="0.15">
      <c r="A21" s="5">
        <v>43543</v>
      </c>
      <c r="B21" s="5" t="s">
        <v>4</v>
      </c>
      <c r="C21" s="18"/>
      <c r="D21" s="8"/>
      <c r="F21" s="18"/>
      <c r="G21" s="8"/>
      <c r="I21" s="18"/>
      <c r="J21" s="8"/>
      <c r="L21" s="17"/>
      <c r="M21" s="8"/>
    </row>
    <row r="22" spans="1:13" x14ac:dyDescent="0.15">
      <c r="A22" s="5">
        <v>43544</v>
      </c>
      <c r="B22" s="5" t="s">
        <v>6</v>
      </c>
      <c r="C22" s="18"/>
      <c r="D22" s="8"/>
      <c r="F22" s="18" t="s">
        <v>130</v>
      </c>
      <c r="G22" s="8">
        <v>-31</v>
      </c>
      <c r="I22" s="18"/>
      <c r="J22" s="8"/>
      <c r="L22" s="17"/>
      <c r="M22" s="8"/>
    </row>
    <row r="23" spans="1:13" x14ac:dyDescent="0.15">
      <c r="A23" s="5">
        <v>43545</v>
      </c>
      <c r="B23" s="5" t="s">
        <v>7</v>
      </c>
      <c r="C23" s="18"/>
      <c r="D23" s="8"/>
      <c r="F23" s="18"/>
      <c r="G23" s="8"/>
      <c r="I23" s="18"/>
      <c r="J23" s="8"/>
      <c r="L23" s="17"/>
      <c r="M23" s="8"/>
    </row>
    <row r="24" spans="1:13" x14ac:dyDescent="0.15">
      <c r="A24" s="5">
        <v>43546</v>
      </c>
      <c r="B24" s="5" t="s">
        <v>8</v>
      </c>
      <c r="C24" s="18"/>
      <c r="D24" s="8"/>
      <c r="F24" s="18"/>
      <c r="G24" s="8"/>
      <c r="I24" s="18"/>
      <c r="J24" s="8"/>
      <c r="L24" s="18"/>
      <c r="M24" s="8"/>
    </row>
    <row r="25" spans="1:13" x14ac:dyDescent="0.15">
      <c r="A25" s="5">
        <v>43547</v>
      </c>
      <c r="B25" s="5" t="s">
        <v>9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43548</v>
      </c>
      <c r="B26" s="5" t="s">
        <v>10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43549</v>
      </c>
      <c r="B27" s="5" t="s">
        <v>5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43550</v>
      </c>
      <c r="B28" s="5" t="s">
        <v>4</v>
      </c>
      <c r="C28" s="18"/>
      <c r="D28" s="8"/>
      <c r="F28" s="18" t="s">
        <v>111</v>
      </c>
      <c r="G28" s="8">
        <f>111+57</f>
        <v>168</v>
      </c>
      <c r="I28" s="18"/>
      <c r="J28" s="8"/>
      <c r="L28" s="17"/>
      <c r="M28" s="8"/>
    </row>
    <row r="29" spans="1:13" x14ac:dyDescent="0.15">
      <c r="A29" s="5">
        <v>43551</v>
      </c>
      <c r="B29" s="5" t="s">
        <v>6</v>
      </c>
      <c r="C29" s="18"/>
      <c r="D29" s="8"/>
      <c r="F29" s="18" t="s">
        <v>161</v>
      </c>
      <c r="G29" s="8">
        <v>8</v>
      </c>
      <c r="I29" s="18"/>
      <c r="J29" s="8"/>
      <c r="L29" s="17"/>
      <c r="M29" s="8"/>
    </row>
    <row r="30" spans="1:13" x14ac:dyDescent="0.15">
      <c r="A30" s="5">
        <v>43552</v>
      </c>
      <c r="B30" s="5" t="s">
        <v>7</v>
      </c>
      <c r="C30" s="18"/>
      <c r="D30" s="8"/>
      <c r="F30" s="18" t="s">
        <v>111</v>
      </c>
      <c r="G30" s="8">
        <v>63</v>
      </c>
      <c r="I30" s="18"/>
      <c r="J30" s="8"/>
      <c r="L30" s="18"/>
      <c r="M30" s="8"/>
    </row>
    <row r="31" spans="1:13" x14ac:dyDescent="0.15">
      <c r="A31" s="5">
        <v>43553</v>
      </c>
      <c r="B31" s="5" t="s">
        <v>8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43554</v>
      </c>
      <c r="B32" s="5" t="s">
        <v>9</v>
      </c>
      <c r="C32" s="18"/>
      <c r="D32" s="8"/>
      <c r="F32" s="17"/>
      <c r="G32" s="8"/>
      <c r="I32" s="18"/>
      <c r="J32" s="8"/>
      <c r="L32" s="18"/>
      <c r="M32" s="8"/>
    </row>
    <row r="33" spans="1:13" x14ac:dyDescent="0.15">
      <c r="A33" s="5">
        <v>43555</v>
      </c>
      <c r="B33" s="5" t="s">
        <v>10</v>
      </c>
      <c r="C33" s="18"/>
      <c r="D33" s="8"/>
      <c r="F33" s="17"/>
      <c r="G33" s="8"/>
      <c r="I33" s="18"/>
      <c r="J33" s="8"/>
      <c r="L33" s="18"/>
      <c r="M33" s="8"/>
    </row>
    <row r="34" spans="1:13" x14ac:dyDescent="0.15">
      <c r="B34" s="5"/>
    </row>
    <row r="35" spans="1:13" x14ac:dyDescent="0.15">
      <c r="B35" s="5"/>
    </row>
    <row r="36" spans="1:13" x14ac:dyDescent="0.15">
      <c r="B36" s="5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J25" sqref="J25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SUM(G3:G33)</f>
        <v>31.199999999999989</v>
      </c>
      <c r="G2" s="43"/>
      <c r="H2" s="14"/>
      <c r="I2" s="42">
        <f>SUM(J3:J33)</f>
        <v>-100</v>
      </c>
      <c r="J2" s="43"/>
      <c r="K2" s="14"/>
      <c r="L2" s="42">
        <f>SUM(M3:M33)</f>
        <v>0</v>
      </c>
      <c r="M2" s="43"/>
    </row>
    <row r="3" spans="1:13" x14ac:dyDescent="0.15">
      <c r="A3" s="5">
        <v>43497</v>
      </c>
      <c r="B3" s="5" t="s">
        <v>8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43498</v>
      </c>
      <c r="B4" s="5" t="s">
        <v>9</v>
      </c>
      <c r="C4" s="18"/>
      <c r="D4" s="8"/>
      <c r="F4" s="18" t="s">
        <v>20</v>
      </c>
      <c r="G4" s="8">
        <v>38</v>
      </c>
      <c r="I4" s="18"/>
      <c r="J4" s="8"/>
      <c r="L4" s="17"/>
      <c r="M4" s="8"/>
    </row>
    <row r="5" spans="1:13" x14ac:dyDescent="0.15">
      <c r="A5" s="5">
        <v>43499</v>
      </c>
      <c r="B5" s="5" t="s">
        <v>10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43500</v>
      </c>
      <c r="B6" s="5" t="s">
        <v>5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43501</v>
      </c>
      <c r="B7" s="5" t="s">
        <v>4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43502</v>
      </c>
      <c r="B8" s="5" t="s">
        <v>6</v>
      </c>
      <c r="C8" s="18"/>
      <c r="D8" s="8"/>
      <c r="F8" s="18"/>
      <c r="G8" s="8"/>
      <c r="I8" s="18"/>
      <c r="J8" s="8"/>
      <c r="L8" s="17"/>
      <c r="M8" s="8"/>
    </row>
    <row r="9" spans="1:13" x14ac:dyDescent="0.15">
      <c r="A9" s="5">
        <v>43503</v>
      </c>
      <c r="B9" s="5" t="s">
        <v>7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43504</v>
      </c>
      <c r="B10" s="5" t="s">
        <v>8</v>
      </c>
      <c r="C10" s="18"/>
      <c r="D10" s="8"/>
      <c r="F10" s="18"/>
      <c r="G10" s="8"/>
      <c r="I10" s="18"/>
      <c r="J10" s="8"/>
      <c r="L10" s="17"/>
      <c r="M10" s="8"/>
    </row>
    <row r="11" spans="1:13" x14ac:dyDescent="0.15">
      <c r="A11" s="5">
        <v>43505</v>
      </c>
      <c r="B11" s="5" t="s">
        <v>9</v>
      </c>
      <c r="C11" s="18"/>
      <c r="D11" s="8"/>
      <c r="F11" s="18" t="s">
        <v>147</v>
      </c>
      <c r="G11" s="8">
        <f>-(34.6+32.6+29.6)</f>
        <v>-96.800000000000011</v>
      </c>
      <c r="I11" s="18"/>
      <c r="J11" s="8"/>
      <c r="L11" s="17"/>
      <c r="M11" s="8"/>
    </row>
    <row r="12" spans="1:13" x14ac:dyDescent="0.15">
      <c r="A12" s="5"/>
      <c r="B12" s="5"/>
      <c r="C12" s="18"/>
      <c r="D12" s="8"/>
      <c r="F12" s="18" t="s">
        <v>148</v>
      </c>
      <c r="G12" s="8">
        <v>10</v>
      </c>
      <c r="I12" s="18"/>
      <c r="J12" s="8"/>
      <c r="L12" s="17"/>
      <c r="M12" s="8"/>
    </row>
    <row r="13" spans="1:13" x14ac:dyDescent="0.15">
      <c r="A13" s="5">
        <v>43506</v>
      </c>
      <c r="B13" s="5" t="s">
        <v>10</v>
      </c>
      <c r="C13" s="18"/>
      <c r="D13" s="8"/>
      <c r="F13" s="18"/>
      <c r="G13" s="8"/>
      <c r="I13" s="18"/>
      <c r="J13" s="8"/>
      <c r="L13" s="17"/>
      <c r="M13" s="8"/>
    </row>
    <row r="14" spans="1:13" x14ac:dyDescent="0.15">
      <c r="A14" s="5">
        <v>43507</v>
      </c>
      <c r="B14" s="5" t="s">
        <v>5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43508</v>
      </c>
      <c r="B15" s="5" t="s">
        <v>4</v>
      </c>
      <c r="C15" s="18"/>
      <c r="D15" s="8"/>
      <c r="F15" s="18"/>
      <c r="G15" s="8"/>
      <c r="I15" s="18"/>
      <c r="J15" s="8"/>
      <c r="L15" s="17"/>
      <c r="M15" s="8"/>
    </row>
    <row r="16" spans="1:13" x14ac:dyDescent="0.15">
      <c r="A16" s="5">
        <v>43509</v>
      </c>
      <c r="B16" s="5" t="s">
        <v>6</v>
      </c>
      <c r="C16" s="18"/>
      <c r="D16" s="8"/>
      <c r="F16" s="18" t="s">
        <v>15</v>
      </c>
      <c r="G16" s="8">
        <v>10</v>
      </c>
      <c r="I16" s="18"/>
      <c r="J16" s="8"/>
      <c r="L16" s="18"/>
      <c r="M16" s="8"/>
    </row>
    <row r="17" spans="1:13" x14ac:dyDescent="0.15">
      <c r="A17" s="5">
        <v>43510</v>
      </c>
      <c r="B17" s="5" t="s">
        <v>7</v>
      </c>
      <c r="C17" s="18"/>
      <c r="D17" s="8"/>
      <c r="F17" s="18" t="s">
        <v>15</v>
      </c>
      <c r="G17" s="8">
        <v>10</v>
      </c>
      <c r="I17" s="18" t="s">
        <v>20</v>
      </c>
      <c r="J17" s="8">
        <v>40</v>
      </c>
      <c r="L17" s="18"/>
      <c r="M17" s="8"/>
    </row>
    <row r="18" spans="1:13" x14ac:dyDescent="0.15">
      <c r="A18" s="5"/>
      <c r="B18" s="5" t="s">
        <v>8</v>
      </c>
      <c r="C18" s="18"/>
      <c r="D18" s="8"/>
      <c r="F18" s="18" t="s">
        <v>20</v>
      </c>
      <c r="G18" s="8">
        <v>40</v>
      </c>
      <c r="I18" s="18"/>
      <c r="J18" s="8"/>
      <c r="L18" s="18"/>
      <c r="M18" s="8"/>
    </row>
    <row r="19" spans="1:13" x14ac:dyDescent="0.15">
      <c r="A19" s="5">
        <v>43511</v>
      </c>
      <c r="B19" s="5" t="s">
        <v>8</v>
      </c>
      <c r="C19" s="18"/>
      <c r="D19" s="8"/>
      <c r="F19" s="18" t="s">
        <v>15</v>
      </c>
      <c r="G19" s="8">
        <v>10</v>
      </c>
      <c r="I19" s="18"/>
      <c r="J19" s="8"/>
      <c r="L19" s="18"/>
      <c r="M19" s="8"/>
    </row>
    <row r="20" spans="1:13" x14ac:dyDescent="0.15">
      <c r="A20" s="5">
        <v>43512</v>
      </c>
      <c r="B20" s="5" t="s">
        <v>9</v>
      </c>
      <c r="C20" s="18"/>
      <c r="D20" s="8"/>
      <c r="F20" s="18"/>
      <c r="G20" s="8"/>
      <c r="I20" s="18"/>
      <c r="J20" s="8"/>
      <c r="L20" s="17"/>
      <c r="M20" s="8"/>
    </row>
    <row r="21" spans="1:13" x14ac:dyDescent="0.15">
      <c r="A21" s="5">
        <v>43513</v>
      </c>
      <c r="B21" s="5" t="s">
        <v>10</v>
      </c>
      <c r="C21" s="18"/>
      <c r="D21" s="8"/>
      <c r="F21" s="18"/>
      <c r="G21" s="8"/>
      <c r="I21" s="18"/>
      <c r="J21" s="8"/>
      <c r="L21" s="17"/>
      <c r="M21" s="8"/>
    </row>
    <row r="22" spans="1:13" x14ac:dyDescent="0.15">
      <c r="A22" s="5">
        <v>43514</v>
      </c>
      <c r="B22" s="5" t="s">
        <v>5</v>
      </c>
      <c r="C22" s="18"/>
      <c r="D22" s="8"/>
      <c r="F22" s="18"/>
      <c r="G22" s="8"/>
      <c r="I22" s="18" t="s">
        <v>20</v>
      </c>
      <c r="J22" s="8">
        <v>25</v>
      </c>
      <c r="L22" s="17"/>
      <c r="M22" s="8"/>
    </row>
    <row r="23" spans="1:13" x14ac:dyDescent="0.15">
      <c r="A23" s="5"/>
      <c r="B23" s="5" t="s">
        <v>4</v>
      </c>
      <c r="C23" s="18"/>
      <c r="D23" s="8"/>
      <c r="F23" s="18"/>
      <c r="G23" s="8"/>
      <c r="I23" s="18" t="s">
        <v>150</v>
      </c>
      <c r="J23" s="8">
        <v>-200</v>
      </c>
      <c r="L23" s="17"/>
      <c r="M23" s="8"/>
    </row>
    <row r="24" spans="1:13" x14ac:dyDescent="0.15">
      <c r="A24" s="5">
        <v>43515</v>
      </c>
      <c r="B24" s="5" t="s">
        <v>4</v>
      </c>
      <c r="C24" s="18"/>
      <c r="D24" s="8"/>
      <c r="F24" s="18" t="s">
        <v>15</v>
      </c>
      <c r="G24" s="8">
        <v>10</v>
      </c>
      <c r="I24" s="18"/>
      <c r="J24" s="8"/>
      <c r="L24" s="18"/>
      <c r="M24" s="8"/>
    </row>
    <row r="25" spans="1:13" x14ac:dyDescent="0.15">
      <c r="A25" s="5">
        <v>43516</v>
      </c>
      <c r="B25" s="5" t="s">
        <v>6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43517</v>
      </c>
      <c r="B26" s="5" t="s">
        <v>7</v>
      </c>
      <c r="C26" s="18"/>
      <c r="D26" s="8"/>
      <c r="F26" s="18"/>
      <c r="G26" s="8"/>
      <c r="I26" s="18" t="s">
        <v>20</v>
      </c>
      <c r="J26" s="8">
        <v>35</v>
      </c>
      <c r="L26" s="18"/>
      <c r="M26" s="8"/>
    </row>
    <row r="27" spans="1:13" x14ac:dyDescent="0.15">
      <c r="A27" s="5">
        <v>43518</v>
      </c>
      <c r="B27" s="5" t="s">
        <v>8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43519</v>
      </c>
      <c r="B28" s="5" t="s">
        <v>9</v>
      </c>
      <c r="C28" s="18"/>
      <c r="D28" s="8"/>
      <c r="F28" s="18"/>
      <c r="G28" s="8"/>
      <c r="I28" s="18"/>
      <c r="J28" s="8"/>
      <c r="L28" s="17"/>
      <c r="M28" s="8"/>
    </row>
    <row r="29" spans="1:13" x14ac:dyDescent="0.15">
      <c r="A29" s="5">
        <v>43520</v>
      </c>
      <c r="B29" s="5" t="s">
        <v>10</v>
      </c>
      <c r="C29" s="18"/>
      <c r="D29" s="8"/>
      <c r="F29" s="18"/>
      <c r="G29" s="8"/>
      <c r="I29" s="18"/>
      <c r="J29" s="8"/>
      <c r="L29" s="17"/>
      <c r="M29" s="8"/>
    </row>
    <row r="30" spans="1:13" x14ac:dyDescent="0.15">
      <c r="A30" s="5">
        <v>43521</v>
      </c>
      <c r="B30" s="5" t="s">
        <v>5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43522</v>
      </c>
      <c r="B31" s="5" t="s">
        <v>4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43523</v>
      </c>
      <c r="B32" s="5" t="s">
        <v>6</v>
      </c>
      <c r="C32" s="18"/>
      <c r="D32" s="8"/>
      <c r="F32" s="17"/>
      <c r="G32" s="8"/>
      <c r="I32" s="18"/>
      <c r="J32" s="8"/>
      <c r="L32" s="18"/>
      <c r="M32" s="8"/>
    </row>
    <row r="33" spans="1:13" x14ac:dyDescent="0.15">
      <c r="A33" s="5">
        <v>43524</v>
      </c>
      <c r="B33" s="5" t="s">
        <v>7</v>
      </c>
      <c r="C33" s="18"/>
      <c r="D33" s="8"/>
      <c r="F33" s="17"/>
      <c r="G33" s="8"/>
      <c r="I33" s="18"/>
      <c r="J33" s="8"/>
      <c r="L33" s="18"/>
      <c r="M33" s="8"/>
    </row>
    <row r="34" spans="1:13" x14ac:dyDescent="0.15">
      <c r="B34" s="5"/>
    </row>
    <row r="35" spans="1:13" x14ac:dyDescent="0.15">
      <c r="B35" s="5"/>
    </row>
    <row r="36" spans="1:13" x14ac:dyDescent="0.15">
      <c r="B36" s="5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11" workbookViewId="0">
      <selection activeCell="G38" sqref="A1:XFD1048576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SUM(D3:D34)</f>
        <v>0</v>
      </c>
      <c r="D2" s="43"/>
      <c r="E2" s="3"/>
      <c r="F2" s="42">
        <f>SUM(G3:G34)</f>
        <v>-531</v>
      </c>
      <c r="G2" s="43"/>
      <c r="H2" s="14"/>
      <c r="I2" s="42">
        <f>SUM(J3:J34)</f>
        <v>83.5</v>
      </c>
      <c r="J2" s="43"/>
      <c r="K2" s="14"/>
      <c r="L2" s="42">
        <f>SUM(M3:M34)</f>
        <v>0</v>
      </c>
      <c r="M2" s="43"/>
    </row>
    <row r="3" spans="1:13" x14ac:dyDescent="0.15">
      <c r="A3" s="5">
        <v>43466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43467</v>
      </c>
      <c r="B4" s="5" t="s">
        <v>6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43468</v>
      </c>
      <c r="B5" s="5" t="s">
        <v>7</v>
      </c>
      <c r="C5" s="18"/>
      <c r="D5" s="8"/>
      <c r="F5" s="18" t="s">
        <v>140</v>
      </c>
      <c r="G5" s="8">
        <v>34</v>
      </c>
      <c r="I5" s="18" t="s">
        <v>140</v>
      </c>
      <c r="J5" s="8">
        <v>24</v>
      </c>
      <c r="L5" s="17"/>
      <c r="M5" s="8"/>
    </row>
    <row r="6" spans="1:13" x14ac:dyDescent="0.15">
      <c r="A6" s="5">
        <v>43469</v>
      </c>
      <c r="B6" s="5" t="s">
        <v>8</v>
      </c>
      <c r="C6" s="18"/>
      <c r="D6" s="8"/>
      <c r="F6" s="18" t="s">
        <v>141</v>
      </c>
      <c r="G6" s="8">
        <v>20</v>
      </c>
      <c r="I6" s="18"/>
      <c r="J6" s="8"/>
      <c r="L6" s="17"/>
      <c r="M6" s="8"/>
    </row>
    <row r="7" spans="1:13" x14ac:dyDescent="0.15">
      <c r="A7" s="5">
        <v>43470</v>
      </c>
      <c r="B7" s="5" t="s">
        <v>9</v>
      </c>
      <c r="C7" s="18"/>
      <c r="D7" s="8"/>
      <c r="F7" s="18" t="s">
        <v>142</v>
      </c>
      <c r="G7" s="8">
        <v>10</v>
      </c>
      <c r="I7" s="18"/>
      <c r="J7" s="8"/>
      <c r="L7" s="17"/>
      <c r="M7" s="8"/>
    </row>
    <row r="8" spans="1:13" x14ac:dyDescent="0.15">
      <c r="A8" s="5"/>
      <c r="B8" s="5"/>
      <c r="C8" s="18"/>
      <c r="D8" s="8"/>
      <c r="F8" s="18" t="s">
        <v>143</v>
      </c>
      <c r="G8" s="8">
        <v>85</v>
      </c>
      <c r="I8" s="18"/>
      <c r="J8" s="8"/>
      <c r="L8" s="17"/>
      <c r="M8" s="8"/>
    </row>
    <row r="9" spans="1:13" x14ac:dyDescent="0.15">
      <c r="A9" s="5">
        <v>43471</v>
      </c>
      <c r="B9" s="5" t="s">
        <v>10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43472</v>
      </c>
      <c r="B10" s="5" t="s">
        <v>5</v>
      </c>
      <c r="C10" s="18"/>
      <c r="D10" s="8"/>
      <c r="F10" s="18"/>
      <c r="G10" s="8"/>
      <c r="I10" s="18"/>
      <c r="J10" s="8"/>
      <c r="L10" s="17"/>
      <c r="M10" s="8"/>
    </row>
    <row r="11" spans="1:13" x14ac:dyDescent="0.15">
      <c r="A11" s="5">
        <v>43473</v>
      </c>
      <c r="B11" s="5" t="s">
        <v>4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43474</v>
      </c>
      <c r="B12" s="5" t="s">
        <v>6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43475</v>
      </c>
      <c r="B13" s="5" t="s">
        <v>7</v>
      </c>
      <c r="C13" s="18"/>
      <c r="D13" s="8"/>
      <c r="F13" s="18"/>
      <c r="G13" s="8"/>
      <c r="I13" s="18" t="s">
        <v>20</v>
      </c>
      <c r="J13" s="8">
        <v>-18</v>
      </c>
      <c r="L13" s="18"/>
      <c r="M13" s="8"/>
    </row>
    <row r="14" spans="1:13" x14ac:dyDescent="0.15">
      <c r="A14" s="5">
        <v>43476</v>
      </c>
      <c r="B14" s="5" t="s">
        <v>8</v>
      </c>
      <c r="C14" s="18"/>
      <c r="D14" s="8"/>
      <c r="F14" s="18"/>
      <c r="G14" s="8"/>
      <c r="I14" s="18"/>
      <c r="J14" s="8"/>
      <c r="L14" s="17"/>
      <c r="M14" s="8"/>
    </row>
    <row r="15" spans="1:13" x14ac:dyDescent="0.15">
      <c r="A15" s="5">
        <v>43477</v>
      </c>
      <c r="B15" s="5" t="s">
        <v>9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43478</v>
      </c>
      <c r="B16" s="5" t="s">
        <v>10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43479</v>
      </c>
      <c r="B17" s="5" t="s">
        <v>5</v>
      </c>
      <c r="C17" s="18"/>
      <c r="D17" s="8"/>
      <c r="F17" s="18"/>
      <c r="G17" s="8"/>
      <c r="I17" s="18" t="s">
        <v>20</v>
      </c>
      <c r="J17" s="8">
        <v>38</v>
      </c>
      <c r="L17" s="18"/>
      <c r="M17" s="8"/>
    </row>
    <row r="18" spans="1:13" x14ac:dyDescent="0.15">
      <c r="A18" s="5">
        <v>43480</v>
      </c>
      <c r="B18" s="5" t="s">
        <v>4</v>
      </c>
      <c r="C18" s="18"/>
      <c r="D18" s="8"/>
      <c r="F18" s="18"/>
      <c r="G18" s="8"/>
      <c r="I18" s="18"/>
      <c r="J18" s="8"/>
      <c r="L18" s="17"/>
      <c r="M18" s="8"/>
    </row>
    <row r="19" spans="1:13" x14ac:dyDescent="0.15">
      <c r="A19" s="5">
        <v>43481</v>
      </c>
      <c r="B19" s="5" t="s">
        <v>6</v>
      </c>
      <c r="C19" s="18"/>
      <c r="D19" s="8"/>
      <c r="F19" s="18"/>
      <c r="G19" s="8"/>
      <c r="I19" s="18"/>
      <c r="J19" s="8"/>
      <c r="L19" s="17"/>
      <c r="M19" s="8"/>
    </row>
    <row r="20" spans="1:13" x14ac:dyDescent="0.15">
      <c r="A20" s="5">
        <v>43482</v>
      </c>
      <c r="B20" s="5" t="s">
        <v>7</v>
      </c>
      <c r="C20" s="18"/>
      <c r="D20" s="8"/>
      <c r="F20" s="18"/>
      <c r="G20" s="8"/>
      <c r="I20" s="18"/>
      <c r="J20" s="8"/>
      <c r="L20" s="17"/>
      <c r="M20" s="8"/>
    </row>
    <row r="21" spans="1:13" x14ac:dyDescent="0.15">
      <c r="A21" s="5">
        <v>43483</v>
      </c>
      <c r="B21" s="5" t="s">
        <v>8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43484</v>
      </c>
      <c r="B22" s="5" t="s">
        <v>9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43485</v>
      </c>
      <c r="B23" s="5" t="s">
        <v>10</v>
      </c>
      <c r="C23" s="18"/>
      <c r="D23" s="8"/>
      <c r="F23" s="18"/>
      <c r="G23" s="8"/>
      <c r="I23" s="18"/>
      <c r="J23" s="8"/>
      <c r="L23" s="18"/>
      <c r="M23" s="8"/>
    </row>
    <row r="24" spans="1:13" x14ac:dyDescent="0.15">
      <c r="A24" s="5">
        <v>43486</v>
      </c>
      <c r="B24" s="5" t="s">
        <v>5</v>
      </c>
      <c r="C24" s="18"/>
      <c r="D24" s="8"/>
      <c r="F24" s="18" t="s">
        <v>145</v>
      </c>
      <c r="G24" s="8">
        <v>-680</v>
      </c>
      <c r="I24" s="18"/>
      <c r="J24" s="8"/>
      <c r="L24" s="18"/>
      <c r="M24" s="8"/>
    </row>
    <row r="25" spans="1:13" x14ac:dyDescent="0.15">
      <c r="A25" s="5">
        <v>43487</v>
      </c>
      <c r="B25" s="5" t="s">
        <v>4</v>
      </c>
      <c r="C25" s="18"/>
      <c r="D25" s="8"/>
      <c r="F25" s="18"/>
      <c r="G25" s="8"/>
      <c r="I25" s="18"/>
      <c r="J25" s="8"/>
      <c r="L25" s="17"/>
      <c r="M25" s="8"/>
    </row>
    <row r="26" spans="1:13" x14ac:dyDescent="0.15">
      <c r="A26" s="5">
        <v>43488</v>
      </c>
      <c r="B26" s="5" t="s">
        <v>6</v>
      </c>
      <c r="C26" s="18"/>
      <c r="D26" s="8"/>
      <c r="F26" s="18"/>
      <c r="G26" s="8"/>
      <c r="I26" s="18" t="s">
        <v>20</v>
      </c>
      <c r="J26" s="8">
        <v>30</v>
      </c>
      <c r="L26" s="17"/>
      <c r="M26" s="8"/>
    </row>
    <row r="27" spans="1:13" x14ac:dyDescent="0.15">
      <c r="A27" s="5">
        <v>43489</v>
      </c>
      <c r="B27" s="5" t="s">
        <v>7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43490</v>
      </c>
      <c r="B28" s="5" t="s">
        <v>8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43491</v>
      </c>
      <c r="B29" s="5" t="s">
        <v>9</v>
      </c>
      <c r="C29" s="18"/>
      <c r="D29" s="8"/>
      <c r="F29" s="17"/>
      <c r="G29" s="8"/>
      <c r="I29" s="18"/>
      <c r="J29" s="8"/>
      <c r="L29" s="18"/>
      <c r="M29" s="8"/>
    </row>
    <row r="30" spans="1:13" x14ac:dyDescent="0.15">
      <c r="A30" s="5">
        <v>43492</v>
      </c>
      <c r="B30" s="5" t="s">
        <v>10</v>
      </c>
      <c r="C30" s="18"/>
      <c r="D30" s="8"/>
      <c r="F30" s="17"/>
      <c r="G30" s="8"/>
      <c r="I30" s="18"/>
      <c r="J30" s="8"/>
      <c r="L30" s="18"/>
      <c r="M30" s="8"/>
    </row>
    <row r="31" spans="1:13" x14ac:dyDescent="0.15">
      <c r="A31" s="5">
        <v>43493</v>
      </c>
      <c r="B31" s="5" t="s">
        <v>5</v>
      </c>
      <c r="C31" s="18"/>
      <c r="D31" s="8"/>
      <c r="F31" s="17"/>
      <c r="G31" s="8"/>
      <c r="I31" s="18" t="s">
        <v>20</v>
      </c>
      <c r="J31" s="8">
        <v>-24.5</v>
      </c>
      <c r="L31" s="18"/>
      <c r="M31" s="8"/>
    </row>
    <row r="32" spans="1:13" x14ac:dyDescent="0.15">
      <c r="A32" s="5">
        <v>43494</v>
      </c>
      <c r="B32" s="5" t="s">
        <v>4</v>
      </c>
      <c r="C32" s="18"/>
      <c r="D32" s="8"/>
      <c r="F32" s="17"/>
      <c r="G32" s="8"/>
      <c r="I32" s="18"/>
      <c r="J32" s="8"/>
      <c r="L32" s="18"/>
      <c r="M32" s="8"/>
    </row>
    <row r="33" spans="1:13" x14ac:dyDescent="0.15">
      <c r="A33" s="5">
        <v>43495</v>
      </c>
      <c r="B33" s="5" t="s">
        <v>6</v>
      </c>
      <c r="C33" s="18"/>
      <c r="D33" s="8"/>
      <c r="F33" s="17"/>
      <c r="G33" s="8"/>
      <c r="I33" s="18" t="s">
        <v>20</v>
      </c>
      <c r="J33" s="8">
        <v>34</v>
      </c>
      <c r="L33" s="18"/>
      <c r="M33" s="8"/>
    </row>
    <row r="34" spans="1:13" ht="14.25" thickBot="1" x14ac:dyDescent="0.2">
      <c r="A34" s="5">
        <v>43496</v>
      </c>
      <c r="B34" s="5" t="s">
        <v>7</v>
      </c>
      <c r="C34" s="18"/>
      <c r="D34" s="8"/>
      <c r="F34" s="21"/>
      <c r="G34" s="10"/>
      <c r="I34" s="21"/>
      <c r="J34" s="10"/>
      <c r="L34" s="21"/>
      <c r="M34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13" workbookViewId="0">
      <selection activeCell="I40" sqref="I40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SUM(D3:D42)</f>
        <v>0</v>
      </c>
      <c r="D2" s="43"/>
      <c r="E2" s="3"/>
      <c r="F2" s="42">
        <f>SUM(G3:G42)</f>
        <v>530.5</v>
      </c>
      <c r="G2" s="43"/>
      <c r="H2" s="14"/>
      <c r="I2" s="42">
        <f>SUM(J3:J42)</f>
        <v>0</v>
      </c>
      <c r="J2" s="43"/>
      <c r="K2" s="14"/>
      <c r="L2" s="42">
        <f>SUM(M3:M42)</f>
        <v>0</v>
      </c>
      <c r="M2" s="43"/>
    </row>
    <row r="3" spans="1:13" x14ac:dyDescent="0.15">
      <c r="A3" s="5">
        <v>43435</v>
      </c>
      <c r="B3" s="5" t="s">
        <v>132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43436</v>
      </c>
      <c r="B4" s="5" t="s">
        <v>10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43437</v>
      </c>
      <c r="B5" s="5" t="s">
        <v>5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43438</v>
      </c>
      <c r="B6" s="5" t="s">
        <v>4</v>
      </c>
      <c r="C6" s="18"/>
      <c r="D6" s="8"/>
      <c r="F6" s="18" t="s">
        <v>133</v>
      </c>
      <c r="G6" s="8">
        <v>8.5</v>
      </c>
      <c r="I6" s="18"/>
      <c r="J6" s="8"/>
      <c r="L6" s="17"/>
      <c r="M6" s="8"/>
    </row>
    <row r="7" spans="1:13" x14ac:dyDescent="0.15">
      <c r="A7" s="5">
        <v>43439</v>
      </c>
      <c r="B7" s="5" t="s">
        <v>6</v>
      </c>
      <c r="C7" s="18"/>
      <c r="D7" s="8"/>
      <c r="F7" s="18" t="s">
        <v>15</v>
      </c>
      <c r="G7" s="8">
        <v>7.5</v>
      </c>
      <c r="I7" s="18"/>
      <c r="J7" s="8"/>
      <c r="L7" s="17"/>
      <c r="M7" s="8"/>
    </row>
    <row r="8" spans="1:13" x14ac:dyDescent="0.15">
      <c r="A8" s="5">
        <v>43440</v>
      </c>
      <c r="B8" s="5" t="s">
        <v>7</v>
      </c>
      <c r="C8" s="18"/>
      <c r="D8" s="8"/>
      <c r="F8" s="18" t="s">
        <v>15</v>
      </c>
      <c r="G8" s="8">
        <v>8.5</v>
      </c>
      <c r="I8" s="18"/>
      <c r="J8" s="8"/>
      <c r="L8" s="17"/>
      <c r="M8" s="8"/>
    </row>
    <row r="9" spans="1:13" x14ac:dyDescent="0.15">
      <c r="A9" s="5"/>
      <c r="B9" s="5"/>
      <c r="C9" s="18"/>
      <c r="D9" s="8"/>
      <c r="F9" s="18" t="s">
        <v>20</v>
      </c>
      <c r="G9" s="8">
        <v>19</v>
      </c>
      <c r="I9" s="18"/>
      <c r="J9" s="8"/>
      <c r="L9" s="17"/>
      <c r="M9" s="8"/>
    </row>
    <row r="10" spans="1:13" x14ac:dyDescent="0.15">
      <c r="A10" s="5"/>
      <c r="B10" s="5"/>
      <c r="C10" s="18"/>
      <c r="D10" s="8"/>
      <c r="F10" s="18" t="s">
        <v>51</v>
      </c>
      <c r="G10" s="8">
        <v>-22</v>
      </c>
      <c r="I10" s="18"/>
      <c r="J10" s="8"/>
      <c r="L10" s="17"/>
      <c r="M10" s="8"/>
    </row>
    <row r="11" spans="1:13" x14ac:dyDescent="0.15">
      <c r="A11" s="5">
        <v>43441</v>
      </c>
      <c r="B11" s="5" t="s">
        <v>8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43442</v>
      </c>
      <c r="B12" s="5" t="s">
        <v>9</v>
      </c>
      <c r="C12" s="18"/>
      <c r="D12" s="8"/>
      <c r="F12" s="18"/>
      <c r="G12" s="8"/>
      <c r="I12" s="18"/>
      <c r="J12" s="8"/>
      <c r="L12" s="18"/>
      <c r="M12" s="8"/>
    </row>
    <row r="13" spans="1:13" x14ac:dyDescent="0.15">
      <c r="A13" s="5">
        <v>43443</v>
      </c>
      <c r="B13" s="5" t="s">
        <v>10</v>
      </c>
      <c r="C13" s="18"/>
      <c r="D13" s="8"/>
      <c r="F13" s="18"/>
      <c r="G13" s="8"/>
      <c r="I13" s="18"/>
      <c r="J13" s="8"/>
      <c r="L13" s="17"/>
      <c r="M13" s="8"/>
    </row>
    <row r="14" spans="1:13" x14ac:dyDescent="0.15">
      <c r="A14" s="5">
        <v>43444</v>
      </c>
      <c r="B14" s="5" t="s">
        <v>5</v>
      </c>
      <c r="C14" s="18"/>
      <c r="D14" s="8"/>
      <c r="F14" s="18" t="s">
        <v>15</v>
      </c>
      <c r="G14" s="8">
        <v>7.5</v>
      </c>
      <c r="I14" s="18"/>
      <c r="J14" s="8"/>
      <c r="L14" s="18"/>
      <c r="M14" s="8"/>
    </row>
    <row r="15" spans="1:13" x14ac:dyDescent="0.15">
      <c r="A15" s="5"/>
      <c r="B15" s="5"/>
      <c r="C15" s="18"/>
      <c r="D15" s="8"/>
      <c r="F15" s="18" t="s">
        <v>134</v>
      </c>
      <c r="G15" s="8">
        <v>70</v>
      </c>
      <c r="I15" s="18"/>
      <c r="J15" s="8"/>
      <c r="L15" s="18"/>
      <c r="M15" s="8"/>
    </row>
    <row r="16" spans="1:13" x14ac:dyDescent="0.15">
      <c r="A16" s="5"/>
      <c r="B16" s="5"/>
      <c r="C16" s="18"/>
      <c r="D16" s="8"/>
      <c r="F16" s="18" t="s">
        <v>20</v>
      </c>
      <c r="G16" s="8">
        <v>40</v>
      </c>
      <c r="I16" s="18"/>
      <c r="J16" s="8"/>
      <c r="L16" s="18"/>
      <c r="M16" s="8"/>
    </row>
    <row r="17" spans="1:13" x14ac:dyDescent="0.15">
      <c r="A17" s="5">
        <v>43445</v>
      </c>
      <c r="B17" s="5" t="s">
        <v>4</v>
      </c>
      <c r="C17" s="18"/>
      <c r="D17" s="8"/>
      <c r="F17" s="18" t="s">
        <v>15</v>
      </c>
      <c r="G17" s="8">
        <v>7.5</v>
      </c>
      <c r="I17" s="18"/>
      <c r="J17" s="8"/>
      <c r="L17" s="17"/>
      <c r="M17" s="8"/>
    </row>
    <row r="18" spans="1:13" x14ac:dyDescent="0.15">
      <c r="A18" s="5">
        <v>43446</v>
      </c>
      <c r="B18" s="5" t="s">
        <v>6</v>
      </c>
      <c r="C18" s="18"/>
      <c r="D18" s="8"/>
      <c r="F18" s="18" t="s">
        <v>15</v>
      </c>
      <c r="G18" s="8">
        <v>7.5</v>
      </c>
      <c r="I18" s="18"/>
      <c r="J18" s="8"/>
      <c r="L18" s="17"/>
      <c r="M18" s="8"/>
    </row>
    <row r="19" spans="1:13" x14ac:dyDescent="0.15">
      <c r="A19" s="5"/>
      <c r="B19" s="5"/>
      <c r="C19" s="18"/>
      <c r="D19" s="8"/>
      <c r="F19" s="18" t="s">
        <v>20</v>
      </c>
      <c r="G19" s="8">
        <v>-21</v>
      </c>
      <c r="I19" s="18"/>
      <c r="J19" s="8"/>
      <c r="L19" s="17"/>
      <c r="M19" s="8"/>
    </row>
    <row r="20" spans="1:13" x14ac:dyDescent="0.15">
      <c r="A20" s="5">
        <v>43447</v>
      </c>
      <c r="B20" s="5" t="s">
        <v>7</v>
      </c>
      <c r="C20" s="18"/>
      <c r="D20" s="8"/>
      <c r="F20" s="18" t="s">
        <v>15</v>
      </c>
      <c r="G20" s="8">
        <v>7.5</v>
      </c>
      <c r="I20" s="18"/>
      <c r="J20" s="8"/>
      <c r="L20" s="18"/>
      <c r="M20" s="8"/>
    </row>
    <row r="21" spans="1:13" x14ac:dyDescent="0.15">
      <c r="A21" s="5">
        <v>43448</v>
      </c>
      <c r="B21" s="5" t="s">
        <v>8</v>
      </c>
      <c r="C21" s="18"/>
      <c r="D21" s="8"/>
      <c r="F21" s="18" t="s">
        <v>15</v>
      </c>
      <c r="G21" s="8">
        <v>7.5</v>
      </c>
      <c r="I21" s="18"/>
      <c r="J21" s="8"/>
      <c r="L21" s="18"/>
      <c r="M21" s="8"/>
    </row>
    <row r="22" spans="1:13" x14ac:dyDescent="0.15">
      <c r="A22" s="5">
        <v>43449</v>
      </c>
      <c r="B22" s="5" t="s">
        <v>9</v>
      </c>
      <c r="C22" s="18"/>
      <c r="D22" s="8"/>
      <c r="F22" s="18" t="s">
        <v>15</v>
      </c>
      <c r="G22" s="8">
        <v>10</v>
      </c>
      <c r="I22" s="18"/>
      <c r="J22" s="8"/>
      <c r="L22" s="18"/>
      <c r="M22" s="8"/>
    </row>
    <row r="23" spans="1:13" x14ac:dyDescent="0.15">
      <c r="A23" s="5">
        <v>43450</v>
      </c>
      <c r="B23" s="5" t="s">
        <v>10</v>
      </c>
      <c r="C23" s="18"/>
      <c r="D23" s="8"/>
      <c r="F23" s="18"/>
      <c r="G23" s="8"/>
      <c r="I23" s="18"/>
      <c r="J23" s="8"/>
      <c r="L23" s="18"/>
      <c r="M23" s="8"/>
    </row>
    <row r="24" spans="1:13" x14ac:dyDescent="0.15">
      <c r="A24" s="5">
        <v>43451</v>
      </c>
      <c r="B24" s="5" t="s">
        <v>5</v>
      </c>
      <c r="C24" s="18"/>
      <c r="D24" s="8"/>
      <c r="F24" s="18" t="s">
        <v>15</v>
      </c>
      <c r="G24" s="8">
        <v>7.5</v>
      </c>
      <c r="I24" s="18"/>
      <c r="J24" s="8"/>
      <c r="L24" s="17"/>
      <c r="M24" s="8"/>
    </row>
    <row r="25" spans="1:13" x14ac:dyDescent="0.15">
      <c r="A25" s="5"/>
      <c r="B25" s="5"/>
      <c r="C25" s="18"/>
      <c r="D25" s="8"/>
      <c r="F25" s="18" t="s">
        <v>135</v>
      </c>
      <c r="G25" s="8">
        <v>7</v>
      </c>
      <c r="I25" s="18"/>
      <c r="J25" s="8"/>
      <c r="L25" s="17"/>
      <c r="M25" s="8"/>
    </row>
    <row r="26" spans="1:13" x14ac:dyDescent="0.15">
      <c r="A26" s="5">
        <v>43452</v>
      </c>
      <c r="B26" s="5" t="s">
        <v>4</v>
      </c>
      <c r="C26" s="18"/>
      <c r="D26" s="8"/>
      <c r="F26" s="18" t="s">
        <v>15</v>
      </c>
      <c r="G26" s="8">
        <v>7.5</v>
      </c>
      <c r="I26" s="18"/>
      <c r="J26" s="8"/>
      <c r="L26" s="18"/>
      <c r="M26" s="8"/>
    </row>
    <row r="27" spans="1:13" x14ac:dyDescent="0.15">
      <c r="A27" s="5">
        <v>43453</v>
      </c>
      <c r="B27" s="5" t="s">
        <v>6</v>
      </c>
      <c r="C27" s="18"/>
      <c r="D27" s="8"/>
      <c r="F27" s="18" t="s">
        <v>15</v>
      </c>
      <c r="G27" s="8">
        <v>7.5</v>
      </c>
      <c r="I27" s="18"/>
      <c r="J27" s="8"/>
      <c r="L27" s="18"/>
      <c r="M27" s="8"/>
    </row>
    <row r="28" spans="1:13" x14ac:dyDescent="0.15">
      <c r="A28" s="5">
        <v>43454</v>
      </c>
      <c r="B28" s="5" t="s">
        <v>7</v>
      </c>
      <c r="C28" s="18"/>
      <c r="D28" s="8"/>
      <c r="F28" s="17" t="s">
        <v>136</v>
      </c>
      <c r="G28" s="8">
        <v>20</v>
      </c>
      <c r="I28" s="18"/>
      <c r="J28" s="8"/>
      <c r="L28" s="18"/>
      <c r="M28" s="8"/>
    </row>
    <row r="29" spans="1:13" x14ac:dyDescent="0.15">
      <c r="A29" s="5">
        <v>43455</v>
      </c>
      <c r="B29" s="5" t="s">
        <v>8</v>
      </c>
      <c r="C29" s="18"/>
      <c r="D29" s="8"/>
      <c r="F29" s="17"/>
      <c r="G29" s="8"/>
      <c r="I29" s="18"/>
      <c r="J29" s="8"/>
      <c r="L29" s="18"/>
      <c r="M29" s="8"/>
    </row>
    <row r="30" spans="1:13" x14ac:dyDescent="0.15">
      <c r="A30" s="5">
        <v>43456</v>
      </c>
      <c r="B30" s="5" t="s">
        <v>9</v>
      </c>
      <c r="C30" s="18"/>
      <c r="D30" s="8"/>
      <c r="F30" s="17"/>
      <c r="G30" s="8"/>
      <c r="I30" s="18"/>
      <c r="J30" s="8"/>
      <c r="L30" s="18"/>
      <c r="M30" s="8"/>
    </row>
    <row r="31" spans="1:13" x14ac:dyDescent="0.15">
      <c r="A31" s="5">
        <v>43457</v>
      </c>
      <c r="B31" s="5" t="s">
        <v>10</v>
      </c>
      <c r="C31" s="18"/>
      <c r="D31" s="8"/>
      <c r="F31" s="17"/>
      <c r="G31" s="8"/>
      <c r="I31" s="18"/>
      <c r="J31" s="8"/>
      <c r="L31" s="18"/>
      <c r="M31" s="8"/>
    </row>
    <row r="32" spans="1:13" x14ac:dyDescent="0.15">
      <c r="A32" s="5">
        <v>43458</v>
      </c>
      <c r="B32" s="5" t="s">
        <v>5</v>
      </c>
      <c r="C32" s="18"/>
      <c r="D32" s="8"/>
      <c r="F32" s="17"/>
      <c r="G32" s="8"/>
      <c r="I32" s="18"/>
      <c r="J32" s="8"/>
      <c r="L32" s="18"/>
      <c r="M32" s="8"/>
    </row>
    <row r="33" spans="1:13" x14ac:dyDescent="0.15">
      <c r="A33" s="5">
        <v>43459</v>
      </c>
      <c r="B33" s="5" t="s">
        <v>4</v>
      </c>
      <c r="C33" s="18"/>
      <c r="D33" s="8"/>
      <c r="F33" s="18" t="s">
        <v>15</v>
      </c>
      <c r="G33" s="8">
        <v>8</v>
      </c>
      <c r="I33" s="18"/>
      <c r="J33" s="8"/>
      <c r="L33" s="18"/>
      <c r="M33" s="8"/>
    </row>
    <row r="34" spans="1:13" x14ac:dyDescent="0.15">
      <c r="A34" s="5"/>
      <c r="B34" s="5"/>
      <c r="C34" s="18"/>
      <c r="D34" s="8"/>
      <c r="F34" s="18" t="s">
        <v>137</v>
      </c>
      <c r="G34" s="8">
        <v>36</v>
      </c>
      <c r="I34" s="18"/>
      <c r="J34" s="8"/>
      <c r="L34" s="18"/>
      <c r="M34" s="8"/>
    </row>
    <row r="35" spans="1:13" x14ac:dyDescent="0.15">
      <c r="A35" s="5">
        <v>43460</v>
      </c>
      <c r="B35" s="5" t="s">
        <v>6</v>
      </c>
      <c r="C35" s="18"/>
      <c r="D35" s="8"/>
      <c r="F35" s="18"/>
      <c r="G35" s="8"/>
      <c r="I35" s="18"/>
      <c r="J35" s="8"/>
      <c r="L35" s="17"/>
      <c r="M35" s="8"/>
    </row>
    <row r="36" spans="1:13" x14ac:dyDescent="0.15">
      <c r="A36" s="5">
        <v>43461</v>
      </c>
      <c r="B36" s="5" t="s">
        <v>7</v>
      </c>
      <c r="C36" s="18"/>
      <c r="D36" s="8"/>
      <c r="F36" s="18" t="s">
        <v>138</v>
      </c>
      <c r="G36" s="8">
        <v>77</v>
      </c>
      <c r="I36" s="18"/>
      <c r="J36" s="8"/>
      <c r="L36" s="18"/>
      <c r="M36" s="8"/>
    </row>
    <row r="37" spans="1:13" x14ac:dyDescent="0.15">
      <c r="A37" s="5"/>
      <c r="B37" s="5"/>
      <c r="C37" s="18"/>
      <c r="D37" s="8"/>
      <c r="F37" s="18" t="s">
        <v>20</v>
      </c>
      <c r="G37" s="8">
        <v>-32</v>
      </c>
      <c r="I37" s="18"/>
      <c r="J37" s="8"/>
      <c r="L37" s="18"/>
      <c r="M37" s="8"/>
    </row>
    <row r="38" spans="1:13" x14ac:dyDescent="0.15">
      <c r="A38" s="5">
        <v>43462</v>
      </c>
      <c r="B38" s="5" t="s">
        <v>8</v>
      </c>
      <c r="C38" s="18"/>
      <c r="D38" s="8"/>
      <c r="F38" s="18" t="s">
        <v>15</v>
      </c>
      <c r="G38" s="8">
        <v>8</v>
      </c>
      <c r="I38" s="18"/>
      <c r="J38" s="8"/>
      <c r="L38" s="18"/>
      <c r="M38" s="8"/>
    </row>
    <row r="39" spans="1:13" x14ac:dyDescent="0.15">
      <c r="A39" s="5"/>
      <c r="B39" s="5"/>
      <c r="C39" s="18"/>
      <c r="D39" s="8"/>
      <c r="F39" s="18" t="s">
        <v>20</v>
      </c>
      <c r="G39" s="8">
        <v>-25</v>
      </c>
      <c r="I39" s="18"/>
      <c r="J39" s="8"/>
      <c r="L39" s="18"/>
      <c r="M39" s="8"/>
    </row>
    <row r="40" spans="1:13" x14ac:dyDescent="0.15">
      <c r="A40" s="5">
        <v>43463</v>
      </c>
      <c r="B40" s="5" t="s">
        <v>9</v>
      </c>
      <c r="C40" s="18"/>
      <c r="D40" s="8"/>
      <c r="F40" s="17" t="s">
        <v>109</v>
      </c>
      <c r="G40" s="8">
        <v>20</v>
      </c>
      <c r="I40" s="18"/>
      <c r="J40" s="8"/>
      <c r="L40" s="18"/>
      <c r="M40" s="8"/>
    </row>
    <row r="41" spans="1:13" x14ac:dyDescent="0.15">
      <c r="A41" s="5"/>
      <c r="B41" s="5"/>
      <c r="C41" s="18"/>
      <c r="D41" s="8"/>
      <c r="F41" s="17" t="s">
        <v>139</v>
      </c>
      <c r="G41" s="8">
        <v>133</v>
      </c>
      <c r="I41" s="18"/>
      <c r="J41" s="8"/>
      <c r="L41" s="18"/>
      <c r="M41" s="8"/>
    </row>
    <row r="42" spans="1:13" ht="14.25" thickBot="1" x14ac:dyDescent="0.2">
      <c r="A42" s="5">
        <v>43464</v>
      </c>
      <c r="B42" s="5" t="s">
        <v>10</v>
      </c>
      <c r="C42" s="18"/>
      <c r="D42" s="8"/>
      <c r="F42" s="19" t="s">
        <v>139</v>
      </c>
      <c r="G42" s="10">
        <v>98</v>
      </c>
      <c r="I42" s="21"/>
      <c r="J42" s="10"/>
      <c r="L42" s="21"/>
      <c r="M42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17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SUM(G3:G35)</f>
        <v>0</v>
      </c>
      <c r="G2" s="43"/>
      <c r="H2" s="14"/>
      <c r="I2" s="42">
        <f>SUM(J3:J35)</f>
        <v>53.5</v>
      </c>
      <c r="J2" s="43"/>
      <c r="K2" s="14"/>
      <c r="L2" s="42">
        <f>SUM(M3:M35)</f>
        <v>-499</v>
      </c>
      <c r="M2" s="43"/>
    </row>
    <row r="3" spans="1:13" x14ac:dyDescent="0.15">
      <c r="A3" s="5">
        <v>43405</v>
      </c>
      <c r="B3" s="5" t="s">
        <v>7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43406</v>
      </c>
      <c r="B4" s="5" t="s">
        <v>8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43407</v>
      </c>
      <c r="B5" s="5" t="s">
        <v>9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43408</v>
      </c>
      <c r="B6" s="5" t="s">
        <v>10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43409</v>
      </c>
      <c r="B7" s="5" t="s">
        <v>5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43410</v>
      </c>
      <c r="B8" s="5" t="s">
        <v>4</v>
      </c>
      <c r="C8" s="18"/>
      <c r="D8" s="8"/>
      <c r="F8" s="18"/>
      <c r="G8" s="8"/>
      <c r="I8" s="18"/>
      <c r="J8" s="8"/>
      <c r="L8" s="17"/>
      <c r="M8" s="8"/>
    </row>
    <row r="9" spans="1:13" x14ac:dyDescent="0.15">
      <c r="A9" s="5">
        <v>43411</v>
      </c>
      <c r="B9" s="5" t="s">
        <v>6</v>
      </c>
      <c r="C9" s="18"/>
      <c r="D9" s="8"/>
      <c r="F9" s="18"/>
      <c r="G9" s="8"/>
      <c r="I9" s="18" t="s">
        <v>124</v>
      </c>
      <c r="J9" s="8">
        <v>40</v>
      </c>
      <c r="L9" s="17"/>
      <c r="M9" s="8"/>
    </row>
    <row r="10" spans="1:13" x14ac:dyDescent="0.15">
      <c r="A10" s="5">
        <v>43412</v>
      </c>
      <c r="B10" s="5" t="s">
        <v>7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43413</v>
      </c>
      <c r="B11" s="5" t="s">
        <v>8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43414</v>
      </c>
      <c r="B12" s="5" t="s">
        <v>9</v>
      </c>
      <c r="C12" s="18"/>
      <c r="D12" s="8"/>
      <c r="F12" s="18"/>
      <c r="G12" s="8"/>
      <c r="I12" s="18"/>
      <c r="J12" s="8"/>
      <c r="L12" s="18"/>
      <c r="M12" s="8"/>
    </row>
    <row r="13" spans="1:13" x14ac:dyDescent="0.15">
      <c r="A13" s="5">
        <v>43415</v>
      </c>
      <c r="B13" s="5" t="s">
        <v>10</v>
      </c>
      <c r="C13" s="18"/>
      <c r="D13" s="8"/>
      <c r="F13" s="17"/>
      <c r="G13" s="8"/>
      <c r="I13" s="18"/>
      <c r="J13" s="8"/>
      <c r="L13" s="17"/>
      <c r="M13" s="8"/>
    </row>
    <row r="14" spans="1:13" x14ac:dyDescent="0.15">
      <c r="A14" s="5">
        <v>43416</v>
      </c>
      <c r="B14" s="5" t="s">
        <v>5</v>
      </c>
      <c r="C14" s="18"/>
      <c r="D14" s="8"/>
      <c r="F14" s="18"/>
      <c r="G14" s="8"/>
      <c r="I14" s="18"/>
      <c r="J14" s="8"/>
      <c r="L14" s="17"/>
      <c r="M14" s="8"/>
    </row>
    <row r="15" spans="1:13" x14ac:dyDescent="0.15">
      <c r="A15" s="5">
        <v>43417</v>
      </c>
      <c r="B15" s="5" t="s">
        <v>4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43418</v>
      </c>
      <c r="B16" s="5" t="s">
        <v>6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43419</v>
      </c>
      <c r="B17" s="5" t="s">
        <v>7</v>
      </c>
      <c r="C17" s="18"/>
      <c r="D17" s="8"/>
      <c r="F17" s="17"/>
      <c r="G17" s="8"/>
      <c r="I17" s="18" t="s">
        <v>20</v>
      </c>
      <c r="J17" s="8">
        <v>39</v>
      </c>
      <c r="L17" s="18" t="s">
        <v>125</v>
      </c>
      <c r="M17" s="8">
        <v>-700</v>
      </c>
    </row>
    <row r="18" spans="1:13" x14ac:dyDescent="0.15">
      <c r="A18" s="5"/>
      <c r="B18" s="5"/>
      <c r="C18" s="18"/>
      <c r="D18" s="8"/>
      <c r="F18" s="17"/>
      <c r="G18" s="8"/>
      <c r="I18" s="18"/>
      <c r="J18" s="8"/>
      <c r="L18" s="18" t="s">
        <v>27</v>
      </c>
      <c r="M18" s="8">
        <v>51</v>
      </c>
    </row>
    <row r="19" spans="1:13" x14ac:dyDescent="0.15">
      <c r="A19" s="5">
        <v>43420</v>
      </c>
      <c r="B19" s="5" t="s">
        <v>8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43421</v>
      </c>
      <c r="B20" s="5" t="s">
        <v>9</v>
      </c>
      <c r="C20" s="18"/>
      <c r="D20" s="8"/>
      <c r="F20" s="18"/>
      <c r="G20" s="8"/>
      <c r="I20" s="18"/>
      <c r="J20" s="8"/>
      <c r="L20" s="17"/>
      <c r="M20" s="8"/>
    </row>
    <row r="21" spans="1:13" x14ac:dyDescent="0.15">
      <c r="A21" s="5">
        <v>43422</v>
      </c>
      <c r="B21" s="5" t="s">
        <v>10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43423</v>
      </c>
      <c r="B22" s="5" t="s">
        <v>5</v>
      </c>
      <c r="C22" s="18"/>
      <c r="D22" s="8"/>
      <c r="F22" s="17"/>
      <c r="G22" s="8"/>
      <c r="I22" s="18"/>
      <c r="J22" s="8"/>
      <c r="L22" s="18"/>
      <c r="M22" s="8"/>
    </row>
    <row r="23" spans="1:13" x14ac:dyDescent="0.15">
      <c r="A23" s="5">
        <v>43424</v>
      </c>
      <c r="B23" s="5" t="s">
        <v>4</v>
      </c>
      <c r="C23" s="18"/>
      <c r="D23" s="8"/>
      <c r="F23" s="17"/>
      <c r="G23" s="8"/>
      <c r="I23" s="18" t="s">
        <v>57</v>
      </c>
      <c r="J23" s="8">
        <v>45</v>
      </c>
      <c r="L23" s="18"/>
      <c r="M23" s="8"/>
    </row>
    <row r="24" spans="1:13" x14ac:dyDescent="0.15">
      <c r="A24" s="5"/>
      <c r="B24" s="5"/>
      <c r="C24" s="18"/>
      <c r="D24" s="8"/>
      <c r="F24" s="17"/>
      <c r="G24" s="8"/>
      <c r="I24" s="18" t="s">
        <v>21</v>
      </c>
      <c r="J24" s="8">
        <v>6</v>
      </c>
      <c r="L24" s="18"/>
      <c r="M24" s="8"/>
    </row>
    <row r="25" spans="1:13" x14ac:dyDescent="0.15">
      <c r="A25" s="5">
        <v>43425</v>
      </c>
      <c r="B25" s="5" t="s">
        <v>6</v>
      </c>
      <c r="C25" s="18"/>
      <c r="D25" s="8"/>
      <c r="F25" s="17"/>
      <c r="G25" s="8"/>
      <c r="I25" s="18" t="s">
        <v>126</v>
      </c>
      <c r="J25" s="8">
        <v>29</v>
      </c>
      <c r="L25" s="18"/>
      <c r="M25" s="8"/>
    </row>
    <row r="26" spans="1:13" x14ac:dyDescent="0.15">
      <c r="A26" s="5">
        <v>43426</v>
      </c>
      <c r="B26" s="5" t="s">
        <v>7</v>
      </c>
      <c r="C26" s="18"/>
      <c r="D26" s="8"/>
      <c r="F26" s="17"/>
      <c r="G26" s="8"/>
      <c r="I26" s="18"/>
      <c r="J26" s="8"/>
      <c r="L26" s="18" t="s">
        <v>127</v>
      </c>
      <c r="M26" s="8">
        <v>150</v>
      </c>
    </row>
    <row r="27" spans="1:13" x14ac:dyDescent="0.15">
      <c r="A27" s="5">
        <v>43427</v>
      </c>
      <c r="B27" s="5" t="s">
        <v>8</v>
      </c>
      <c r="C27" s="18"/>
      <c r="D27" s="8"/>
      <c r="F27" s="17"/>
      <c r="G27" s="8"/>
      <c r="I27" s="18"/>
      <c r="J27" s="8"/>
      <c r="L27" s="18"/>
      <c r="M27" s="8"/>
    </row>
    <row r="28" spans="1:13" x14ac:dyDescent="0.15">
      <c r="A28" s="5">
        <v>43428</v>
      </c>
      <c r="B28" s="5" t="s">
        <v>9</v>
      </c>
      <c r="C28" s="18"/>
      <c r="D28" s="8"/>
      <c r="F28" s="17"/>
      <c r="G28" s="8"/>
      <c r="I28" s="18" t="s">
        <v>128</v>
      </c>
      <c r="J28" s="8">
        <v>8.5</v>
      </c>
      <c r="L28" s="18"/>
      <c r="M28" s="8"/>
    </row>
    <row r="29" spans="1:13" x14ac:dyDescent="0.15">
      <c r="A29" s="5">
        <v>43429</v>
      </c>
      <c r="B29" s="5" t="s">
        <v>10</v>
      </c>
      <c r="C29" s="18"/>
      <c r="D29" s="8"/>
      <c r="F29" s="17"/>
      <c r="G29" s="8"/>
      <c r="I29" s="18"/>
      <c r="J29" s="8"/>
      <c r="L29" s="18"/>
      <c r="M29" s="8"/>
    </row>
    <row r="30" spans="1:13" x14ac:dyDescent="0.15">
      <c r="A30" s="5">
        <v>43430</v>
      </c>
      <c r="B30" s="5" t="s">
        <v>5</v>
      </c>
      <c r="C30" s="18"/>
      <c r="D30" s="8"/>
      <c r="F30" s="18"/>
      <c r="G30" s="8"/>
      <c r="I30" s="18"/>
      <c r="J30" s="8"/>
      <c r="L30" s="17"/>
      <c r="M30" s="8"/>
    </row>
    <row r="31" spans="1:13" x14ac:dyDescent="0.15">
      <c r="A31" s="5">
        <v>43431</v>
      </c>
      <c r="B31" s="5" t="s">
        <v>4</v>
      </c>
      <c r="C31" s="18"/>
      <c r="D31" s="8"/>
      <c r="F31" s="18"/>
      <c r="G31" s="8"/>
      <c r="I31" s="18" t="s">
        <v>129</v>
      </c>
      <c r="J31" s="8">
        <v>57</v>
      </c>
      <c r="L31" s="18"/>
      <c r="M31" s="8"/>
    </row>
    <row r="32" spans="1:13" x14ac:dyDescent="0.15">
      <c r="A32" s="5"/>
      <c r="B32" s="5"/>
      <c r="C32" s="18"/>
      <c r="D32" s="8"/>
      <c r="F32" s="18"/>
      <c r="G32" s="8"/>
      <c r="I32" s="18" t="s">
        <v>130</v>
      </c>
      <c r="J32" s="8">
        <v>-200</v>
      </c>
      <c r="L32" s="18"/>
      <c r="M32" s="8"/>
    </row>
    <row r="33" spans="1:13" x14ac:dyDescent="0.15">
      <c r="A33" s="5">
        <v>43432</v>
      </c>
      <c r="B33" s="5" t="s">
        <v>6</v>
      </c>
      <c r="C33" s="18"/>
      <c r="D33" s="8"/>
      <c r="F33" s="18"/>
      <c r="G33" s="8"/>
      <c r="I33" s="18"/>
      <c r="J33" s="8"/>
      <c r="L33" s="18"/>
      <c r="M33" s="8"/>
    </row>
    <row r="34" spans="1:13" x14ac:dyDescent="0.15">
      <c r="A34" s="5">
        <v>43433</v>
      </c>
      <c r="B34" s="5" t="s">
        <v>7</v>
      </c>
      <c r="C34" s="18"/>
      <c r="D34" s="8"/>
      <c r="F34" s="18"/>
      <c r="G34" s="8"/>
      <c r="I34" s="18"/>
      <c r="J34" s="8"/>
      <c r="L34" s="18"/>
      <c r="M34" s="8"/>
    </row>
    <row r="35" spans="1:13" ht="14.25" thickBot="1" x14ac:dyDescent="0.2">
      <c r="A35" s="5">
        <v>43434</v>
      </c>
      <c r="B35" s="5" t="s">
        <v>8</v>
      </c>
      <c r="C35" s="18"/>
      <c r="D35" s="8"/>
      <c r="F35" s="19"/>
      <c r="G35" s="10"/>
      <c r="I35" s="21" t="s">
        <v>131</v>
      </c>
      <c r="J35" s="10">
        <v>29</v>
      </c>
      <c r="L35" s="21"/>
      <c r="M35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39"/>
  <sheetViews>
    <sheetView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SUM(D3:D37)</f>
        <v>0</v>
      </c>
      <c r="D2" s="43"/>
      <c r="E2" s="3"/>
      <c r="F2" s="42">
        <f>SUM(G3:G39)</f>
        <v>-390.2</v>
      </c>
      <c r="G2" s="43"/>
      <c r="H2" s="14"/>
      <c r="I2" s="42">
        <f>SUM(J3:J39)</f>
        <v>-24.599999999999994</v>
      </c>
      <c r="J2" s="43"/>
      <c r="K2" s="14"/>
      <c r="L2" s="42">
        <f>SUM(M3:M39)</f>
        <v>0</v>
      </c>
      <c r="M2" s="43"/>
    </row>
    <row r="3" spans="1:13" x14ac:dyDescent="0.15">
      <c r="A3" s="5">
        <v>43374</v>
      </c>
      <c r="B3" s="5" t="s">
        <v>5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43375</v>
      </c>
      <c r="B4" s="5" t="s">
        <v>4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43376</v>
      </c>
      <c r="B5" s="5" t="s">
        <v>6</v>
      </c>
      <c r="C5" s="18"/>
      <c r="D5" s="8"/>
      <c r="F5" s="18" t="s">
        <v>111</v>
      </c>
      <c r="G5" s="8">
        <v>38</v>
      </c>
      <c r="I5" s="18"/>
      <c r="J5" s="8"/>
      <c r="L5" s="17"/>
      <c r="M5" s="8"/>
    </row>
    <row r="6" spans="1:13" x14ac:dyDescent="0.15">
      <c r="A6" s="5">
        <v>43377</v>
      </c>
      <c r="B6" s="5" t="s">
        <v>7</v>
      </c>
      <c r="C6" s="18"/>
      <c r="D6" s="8"/>
      <c r="F6" s="18"/>
      <c r="G6" s="8"/>
      <c r="I6" s="18" t="s">
        <v>116</v>
      </c>
      <c r="J6" s="8">
        <v>38</v>
      </c>
      <c r="L6" s="17"/>
      <c r="M6" s="8"/>
    </row>
    <row r="7" spans="1:13" x14ac:dyDescent="0.15">
      <c r="A7" s="5"/>
      <c r="B7" s="5"/>
      <c r="C7" s="18"/>
      <c r="D7" s="8"/>
      <c r="F7" s="18" t="s">
        <v>116</v>
      </c>
      <c r="G7" s="8">
        <v>33</v>
      </c>
      <c r="I7" s="18"/>
      <c r="J7" s="8"/>
      <c r="L7" s="17"/>
      <c r="M7" s="8"/>
    </row>
    <row r="8" spans="1:13" x14ac:dyDescent="0.15">
      <c r="A8" s="5">
        <v>43378</v>
      </c>
      <c r="B8" s="5" t="s">
        <v>8</v>
      </c>
      <c r="C8" s="18"/>
      <c r="D8" s="8"/>
      <c r="F8" s="18" t="s">
        <v>117</v>
      </c>
      <c r="G8" s="8">
        <v>8.8000000000000007</v>
      </c>
      <c r="I8" s="18"/>
      <c r="J8" s="8"/>
      <c r="L8" s="17"/>
      <c r="M8" s="8"/>
    </row>
    <row r="9" spans="1:13" x14ac:dyDescent="0.15">
      <c r="A9" s="5"/>
      <c r="B9" s="5"/>
      <c r="C9" s="18"/>
      <c r="D9" s="8"/>
      <c r="F9" s="18" t="s">
        <v>118</v>
      </c>
      <c r="G9" s="8">
        <v>32</v>
      </c>
      <c r="I9" s="18"/>
      <c r="J9" s="8"/>
      <c r="L9" s="17"/>
      <c r="M9" s="8"/>
    </row>
    <row r="10" spans="1:13" x14ac:dyDescent="0.15">
      <c r="A10" s="5">
        <v>43379</v>
      </c>
      <c r="B10" s="5" t="s">
        <v>9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43380</v>
      </c>
      <c r="B11" s="5" t="s">
        <v>10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43381</v>
      </c>
      <c r="B12" s="5" t="s">
        <v>5</v>
      </c>
      <c r="C12" s="18"/>
      <c r="D12" s="8"/>
      <c r="F12" s="18" t="s">
        <v>20</v>
      </c>
      <c r="G12" s="8">
        <v>-27</v>
      </c>
      <c r="I12" s="18"/>
      <c r="J12" s="8"/>
      <c r="L12" s="18"/>
      <c r="M12" s="8"/>
    </row>
    <row r="13" spans="1:13" x14ac:dyDescent="0.15">
      <c r="A13" s="5">
        <v>43382</v>
      </c>
      <c r="B13" s="5" t="s">
        <v>4</v>
      </c>
      <c r="C13" s="18"/>
      <c r="D13" s="8"/>
      <c r="F13" s="17"/>
      <c r="G13" s="8"/>
      <c r="I13" s="18"/>
      <c r="J13" s="8"/>
      <c r="L13" s="17"/>
      <c r="M13" s="8"/>
    </row>
    <row r="14" spans="1:13" x14ac:dyDescent="0.15">
      <c r="A14" s="5">
        <v>43383</v>
      </c>
      <c r="B14" s="5" t="s">
        <v>6</v>
      </c>
      <c r="C14" s="18"/>
      <c r="D14" s="8"/>
      <c r="F14" s="18" t="s">
        <v>20</v>
      </c>
      <c r="G14" s="8">
        <v>35</v>
      </c>
      <c r="I14" s="18" t="s">
        <v>20</v>
      </c>
      <c r="J14" s="8">
        <v>35</v>
      </c>
      <c r="L14" s="17"/>
      <c r="M14" s="8"/>
    </row>
    <row r="15" spans="1:13" x14ac:dyDescent="0.15">
      <c r="A15" s="5"/>
      <c r="B15" s="5"/>
      <c r="C15" s="18"/>
      <c r="D15" s="8"/>
      <c r="F15" s="18" t="s">
        <v>51</v>
      </c>
      <c r="G15" s="8">
        <v>28</v>
      </c>
      <c r="I15" s="18" t="s">
        <v>27</v>
      </c>
      <c r="J15" s="8">
        <v>-100</v>
      </c>
      <c r="L15" s="18"/>
      <c r="M15" s="8"/>
    </row>
    <row r="16" spans="1:13" x14ac:dyDescent="0.15">
      <c r="A16" s="5">
        <v>43384</v>
      </c>
      <c r="B16" s="5" t="s">
        <v>7</v>
      </c>
      <c r="C16" s="18"/>
      <c r="D16" s="8"/>
      <c r="F16" s="18" t="s">
        <v>51</v>
      </c>
      <c r="G16" s="8">
        <v>28</v>
      </c>
      <c r="I16" s="18"/>
      <c r="J16" s="8"/>
      <c r="L16" s="18"/>
      <c r="M16" s="8"/>
    </row>
    <row r="17" spans="1:13" x14ac:dyDescent="0.15">
      <c r="A17" s="5">
        <v>43385</v>
      </c>
      <c r="B17" s="5" t="s">
        <v>8</v>
      </c>
      <c r="C17" s="18"/>
      <c r="D17" s="8"/>
      <c r="F17" s="17"/>
      <c r="G17" s="8"/>
      <c r="I17" s="17"/>
      <c r="J17" s="8"/>
      <c r="L17" s="18"/>
      <c r="M17" s="8"/>
    </row>
    <row r="18" spans="1:13" x14ac:dyDescent="0.15">
      <c r="A18" s="5">
        <v>43386</v>
      </c>
      <c r="B18" s="5" t="s">
        <v>9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43387</v>
      </c>
      <c r="B19" s="5" t="s">
        <v>10</v>
      </c>
      <c r="C19" s="18"/>
      <c r="D19" s="8"/>
      <c r="F19" s="18"/>
      <c r="G19" s="8"/>
      <c r="I19" s="18"/>
      <c r="J19" s="8"/>
      <c r="L19" s="17"/>
      <c r="M19" s="8"/>
    </row>
    <row r="20" spans="1:13" x14ac:dyDescent="0.15">
      <c r="A20" s="5">
        <v>43388</v>
      </c>
      <c r="B20" s="5" t="s">
        <v>5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43389</v>
      </c>
      <c r="B21" s="5" t="s">
        <v>4</v>
      </c>
      <c r="C21" s="18"/>
      <c r="D21" s="8"/>
      <c r="F21" s="17" t="s">
        <v>27</v>
      </c>
      <c r="G21" s="8">
        <v>34</v>
      </c>
      <c r="I21" s="18"/>
      <c r="J21" s="8"/>
      <c r="L21" s="18"/>
      <c r="M21" s="8"/>
    </row>
    <row r="22" spans="1:13" x14ac:dyDescent="0.15">
      <c r="A22" s="5"/>
      <c r="B22" s="5"/>
      <c r="C22" s="18"/>
      <c r="D22" s="8"/>
      <c r="F22" s="17" t="s">
        <v>27</v>
      </c>
      <c r="G22" s="8">
        <v>37</v>
      </c>
      <c r="I22" s="18"/>
      <c r="J22" s="8"/>
      <c r="L22" s="18"/>
      <c r="M22" s="8"/>
    </row>
    <row r="23" spans="1:13" x14ac:dyDescent="0.15">
      <c r="A23" s="5"/>
      <c r="B23" s="5"/>
      <c r="C23" s="18"/>
      <c r="D23" s="8"/>
      <c r="F23" s="17" t="s">
        <v>27</v>
      </c>
      <c r="G23" s="8">
        <v>-637</v>
      </c>
      <c r="I23" s="18"/>
      <c r="J23" s="8"/>
      <c r="L23" s="18"/>
      <c r="M23" s="8"/>
    </row>
    <row r="24" spans="1:13" x14ac:dyDescent="0.15">
      <c r="A24" s="5">
        <v>43390</v>
      </c>
      <c r="B24" s="5" t="s">
        <v>6</v>
      </c>
      <c r="C24" s="18"/>
      <c r="D24" s="8"/>
      <c r="F24" s="17"/>
      <c r="G24" s="8"/>
      <c r="I24" s="18"/>
      <c r="J24" s="8"/>
      <c r="L24" s="18"/>
      <c r="M24" s="8"/>
    </row>
    <row r="25" spans="1:13" x14ac:dyDescent="0.15">
      <c r="A25" s="5">
        <v>43391</v>
      </c>
      <c r="B25" s="5" t="s">
        <v>7</v>
      </c>
      <c r="C25" s="18"/>
      <c r="D25" s="8"/>
      <c r="F25" s="17"/>
      <c r="G25" s="8"/>
      <c r="I25" s="18"/>
      <c r="J25" s="8"/>
      <c r="L25" s="18"/>
      <c r="M25" s="8"/>
    </row>
    <row r="26" spans="1:13" x14ac:dyDescent="0.15">
      <c r="A26" s="5">
        <v>43392</v>
      </c>
      <c r="B26" s="5" t="s">
        <v>8</v>
      </c>
      <c r="C26" s="18"/>
      <c r="D26" s="8"/>
      <c r="F26" s="17"/>
      <c r="G26" s="8"/>
      <c r="I26" s="18"/>
      <c r="J26" s="8"/>
      <c r="L26" s="18"/>
      <c r="M26" s="8"/>
    </row>
    <row r="27" spans="1:13" x14ac:dyDescent="0.15">
      <c r="A27" s="5">
        <v>43393</v>
      </c>
      <c r="B27" s="5" t="s">
        <v>9</v>
      </c>
      <c r="C27" s="18"/>
      <c r="D27" s="8"/>
      <c r="F27" s="17"/>
      <c r="G27" s="8"/>
      <c r="I27" s="18"/>
      <c r="J27" s="8"/>
      <c r="L27" s="18"/>
      <c r="M27" s="8"/>
    </row>
    <row r="28" spans="1:13" x14ac:dyDescent="0.15">
      <c r="A28" s="5">
        <v>43394</v>
      </c>
      <c r="B28" s="5" t="s">
        <v>10</v>
      </c>
      <c r="C28" s="18"/>
      <c r="D28" s="8"/>
      <c r="F28" s="18"/>
      <c r="G28" s="8"/>
      <c r="I28" s="18"/>
      <c r="J28" s="8"/>
      <c r="L28" s="17"/>
      <c r="M28" s="8"/>
    </row>
    <row r="29" spans="1:13" x14ac:dyDescent="0.15">
      <c r="A29" s="5">
        <v>43395</v>
      </c>
      <c r="B29" s="5" t="s">
        <v>5</v>
      </c>
      <c r="C29" s="18"/>
      <c r="D29" s="8"/>
      <c r="F29" s="18"/>
      <c r="G29" s="8"/>
      <c r="I29" s="18" t="s">
        <v>20</v>
      </c>
      <c r="J29" s="8">
        <v>-28.6</v>
      </c>
      <c r="L29" s="18"/>
      <c r="M29" s="8"/>
    </row>
    <row r="30" spans="1:13" x14ac:dyDescent="0.15">
      <c r="A30" s="5">
        <v>43396</v>
      </c>
      <c r="B30" s="5" t="s">
        <v>4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43397</v>
      </c>
      <c r="B31" s="5" t="s">
        <v>6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43398</v>
      </c>
      <c r="B32" s="5" t="s">
        <v>7</v>
      </c>
      <c r="C32" s="18"/>
      <c r="D32" s="8"/>
      <c r="F32" s="17"/>
      <c r="G32" s="8"/>
      <c r="I32" s="18"/>
      <c r="J32" s="8"/>
      <c r="L32" s="18"/>
      <c r="M32" s="8"/>
    </row>
    <row r="33" spans="1:13" x14ac:dyDescent="0.15">
      <c r="A33" s="5">
        <v>43399</v>
      </c>
      <c r="B33" s="5" t="s">
        <v>8</v>
      </c>
      <c r="C33" s="18"/>
      <c r="D33" s="8"/>
      <c r="F33" s="17"/>
      <c r="G33" s="8"/>
      <c r="I33" s="18"/>
      <c r="J33" s="8"/>
      <c r="L33" s="18"/>
      <c r="M33" s="8"/>
    </row>
    <row r="34" spans="1:13" x14ac:dyDescent="0.15">
      <c r="A34" s="5">
        <v>43400</v>
      </c>
      <c r="B34" s="5" t="s">
        <v>9</v>
      </c>
      <c r="C34" s="18"/>
      <c r="D34" s="8"/>
      <c r="F34" s="18"/>
      <c r="G34" s="8"/>
      <c r="I34" s="18"/>
      <c r="J34" s="8"/>
      <c r="L34" s="18"/>
      <c r="M34" s="8"/>
    </row>
    <row r="35" spans="1:13" x14ac:dyDescent="0.15">
      <c r="A35" s="5">
        <v>43401</v>
      </c>
      <c r="B35" s="5" t="s">
        <v>10</v>
      </c>
      <c r="C35" s="18"/>
      <c r="D35" s="8"/>
      <c r="F35" s="18"/>
      <c r="G35" s="8"/>
      <c r="I35" s="18"/>
      <c r="J35" s="8"/>
      <c r="L35" s="18"/>
      <c r="M35" s="8"/>
    </row>
    <row r="36" spans="1:13" x14ac:dyDescent="0.15">
      <c r="A36" s="5">
        <v>43402</v>
      </c>
      <c r="B36" s="5" t="s">
        <v>5</v>
      </c>
      <c r="C36" s="18"/>
      <c r="D36" s="8"/>
      <c r="F36" s="18"/>
      <c r="G36" s="8"/>
      <c r="I36" s="18" t="s">
        <v>120</v>
      </c>
      <c r="J36" s="8">
        <v>158</v>
      </c>
      <c r="L36" s="17"/>
      <c r="M36" s="8"/>
    </row>
    <row r="37" spans="1:13" x14ac:dyDescent="0.15">
      <c r="A37" s="5">
        <v>43403</v>
      </c>
      <c r="B37" s="5" t="s">
        <v>4</v>
      </c>
      <c r="C37" s="18"/>
      <c r="D37" s="8"/>
      <c r="F37" s="18"/>
      <c r="G37" s="8"/>
      <c r="I37" s="18" t="s">
        <v>121</v>
      </c>
      <c r="J37" s="8">
        <v>40</v>
      </c>
      <c r="L37" s="18"/>
      <c r="M37" s="8"/>
    </row>
    <row r="38" spans="1:13" x14ac:dyDescent="0.15">
      <c r="A38" s="5">
        <v>43404</v>
      </c>
      <c r="B38" s="5" t="s">
        <v>6</v>
      </c>
      <c r="F38" s="18"/>
      <c r="G38" s="8"/>
      <c r="I38" s="18" t="s">
        <v>123</v>
      </c>
      <c r="J38" s="8">
        <v>-200</v>
      </c>
      <c r="L38" s="18"/>
      <c r="M38" s="8"/>
    </row>
    <row r="39" spans="1:13" ht="14.25" thickBot="1" x14ac:dyDescent="0.2">
      <c r="F39" s="21"/>
      <c r="G39" s="10"/>
      <c r="I39" s="21" t="s">
        <v>122</v>
      </c>
      <c r="J39" s="10">
        <v>33</v>
      </c>
      <c r="L39" s="21"/>
      <c r="M39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38"/>
  <sheetViews>
    <sheetView topLeftCell="A19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SUM(D3:D37)</f>
        <v>0</v>
      </c>
      <c r="D2" s="43"/>
      <c r="E2" s="3"/>
      <c r="F2" s="42">
        <f>SUM(G3:G38)</f>
        <v>-81.5</v>
      </c>
      <c r="G2" s="43"/>
      <c r="H2" s="14"/>
      <c r="I2" s="42">
        <f>SUM(J3:J38)</f>
        <v>37</v>
      </c>
      <c r="J2" s="43"/>
      <c r="K2" s="14"/>
      <c r="L2" s="42">
        <f>SUM(M3:M38)</f>
        <v>-250</v>
      </c>
      <c r="M2" s="43"/>
    </row>
    <row r="3" spans="1:13" x14ac:dyDescent="0.15">
      <c r="A3" s="5">
        <v>43344</v>
      </c>
      <c r="B3" s="5" t="s">
        <v>9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43345</v>
      </c>
      <c r="B4" s="5" t="s">
        <v>10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43346</v>
      </c>
      <c r="B5" s="5" t="s">
        <v>5</v>
      </c>
      <c r="C5" s="18"/>
      <c r="D5" s="8"/>
      <c r="F5" s="18" t="s">
        <v>51</v>
      </c>
      <c r="G5" s="8">
        <v>30</v>
      </c>
      <c r="I5" s="18"/>
      <c r="J5" s="8"/>
      <c r="L5" s="17"/>
      <c r="M5" s="8"/>
    </row>
    <row r="6" spans="1:13" x14ac:dyDescent="0.15">
      <c r="A6" s="5"/>
      <c r="B6" s="5"/>
      <c r="C6" s="18"/>
      <c r="D6" s="8"/>
      <c r="F6" s="18" t="s">
        <v>112</v>
      </c>
      <c r="G6" s="8">
        <v>7.5</v>
      </c>
      <c r="I6" s="18"/>
      <c r="J6" s="8"/>
      <c r="L6" s="17"/>
      <c r="M6" s="8"/>
    </row>
    <row r="7" spans="1:13" x14ac:dyDescent="0.15">
      <c r="A7" s="5">
        <v>43347</v>
      </c>
      <c r="B7" s="5" t="s">
        <v>4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43348</v>
      </c>
      <c r="B8" s="5" t="s">
        <v>6</v>
      </c>
      <c r="C8" s="18"/>
      <c r="D8" s="8"/>
      <c r="F8" s="18"/>
      <c r="G8" s="8"/>
      <c r="I8" s="18"/>
      <c r="J8" s="8"/>
      <c r="L8" s="17"/>
      <c r="M8" s="8"/>
    </row>
    <row r="9" spans="1:13" x14ac:dyDescent="0.15">
      <c r="A9" s="5">
        <v>43349</v>
      </c>
      <c r="B9" s="5" t="s">
        <v>7</v>
      </c>
      <c r="C9" s="18"/>
      <c r="D9" s="8"/>
      <c r="F9" s="18"/>
      <c r="G9" s="8"/>
      <c r="I9" s="18"/>
      <c r="J9" s="8"/>
      <c r="L9" s="18"/>
      <c r="M9" s="8"/>
    </row>
    <row r="10" spans="1:13" x14ac:dyDescent="0.15">
      <c r="A10" s="5">
        <v>43350</v>
      </c>
      <c r="B10" s="5" t="s">
        <v>8</v>
      </c>
      <c r="C10" s="18"/>
      <c r="D10" s="8"/>
      <c r="F10" s="18" t="s">
        <v>111</v>
      </c>
      <c r="G10" s="8">
        <v>-273</v>
      </c>
      <c r="I10" s="18"/>
      <c r="J10" s="8"/>
      <c r="L10" s="17"/>
      <c r="M10" s="8"/>
    </row>
    <row r="11" spans="1:13" x14ac:dyDescent="0.15">
      <c r="A11" s="5"/>
      <c r="B11" s="5"/>
      <c r="C11" s="18"/>
      <c r="D11" s="8"/>
      <c r="F11" s="18" t="s">
        <v>112</v>
      </c>
      <c r="G11" s="8">
        <v>7.5</v>
      </c>
      <c r="I11" s="18"/>
      <c r="J11" s="8"/>
      <c r="L11" s="17"/>
      <c r="M11" s="8"/>
    </row>
    <row r="12" spans="1:13" x14ac:dyDescent="0.15">
      <c r="A12" s="5">
        <v>43351</v>
      </c>
      <c r="B12" s="5" t="s">
        <v>9</v>
      </c>
      <c r="C12" s="18"/>
      <c r="D12" s="8"/>
      <c r="F12" s="18" t="s">
        <v>111</v>
      </c>
      <c r="G12" s="8">
        <v>-241</v>
      </c>
      <c r="I12" s="18"/>
      <c r="J12" s="8"/>
      <c r="L12" s="18"/>
      <c r="M12" s="8"/>
    </row>
    <row r="13" spans="1:13" x14ac:dyDescent="0.15">
      <c r="A13" s="5">
        <v>43352</v>
      </c>
      <c r="B13" s="5" t="s">
        <v>10</v>
      </c>
      <c r="C13" s="18"/>
      <c r="D13" s="8"/>
      <c r="F13" s="17"/>
      <c r="G13" s="8"/>
      <c r="I13" s="18"/>
      <c r="J13" s="8"/>
      <c r="L13" s="17"/>
      <c r="M13" s="8"/>
    </row>
    <row r="14" spans="1:13" x14ac:dyDescent="0.15">
      <c r="A14" s="5">
        <v>43353</v>
      </c>
      <c r="B14" s="5" t="s">
        <v>5</v>
      </c>
      <c r="C14" s="18"/>
      <c r="D14" s="8"/>
      <c r="F14" s="18" t="s">
        <v>20</v>
      </c>
      <c r="G14" s="8">
        <v>37</v>
      </c>
      <c r="I14" s="18" t="s">
        <v>20</v>
      </c>
      <c r="J14" s="8">
        <v>37</v>
      </c>
      <c r="L14" s="17"/>
      <c r="M14" s="8"/>
    </row>
    <row r="15" spans="1:13" x14ac:dyDescent="0.15">
      <c r="A15" s="5"/>
      <c r="B15" s="5"/>
      <c r="C15" s="18"/>
      <c r="D15" s="8"/>
      <c r="F15" s="18" t="s">
        <v>112</v>
      </c>
      <c r="G15" s="8">
        <v>7.5</v>
      </c>
      <c r="I15" s="18"/>
      <c r="J15" s="8"/>
      <c r="L15" s="17"/>
      <c r="M15" s="8"/>
    </row>
    <row r="16" spans="1:13" x14ac:dyDescent="0.15">
      <c r="A16" s="5">
        <v>43354</v>
      </c>
      <c r="B16" s="5" t="s">
        <v>4</v>
      </c>
      <c r="C16" s="18"/>
      <c r="D16" s="8"/>
      <c r="F16" s="17"/>
      <c r="G16" s="8"/>
      <c r="I16" s="18"/>
      <c r="J16" s="8"/>
      <c r="L16" s="18"/>
      <c r="M16" s="8"/>
    </row>
    <row r="17" spans="1:13" x14ac:dyDescent="0.15">
      <c r="A17" s="5">
        <v>43355</v>
      </c>
      <c r="B17" s="5" t="s">
        <v>6</v>
      </c>
      <c r="C17" s="18"/>
      <c r="D17" s="8"/>
      <c r="F17" s="17"/>
      <c r="G17" s="8"/>
      <c r="I17" s="17"/>
      <c r="J17" s="8"/>
      <c r="L17" s="18"/>
      <c r="M17" s="8"/>
    </row>
    <row r="18" spans="1:13" x14ac:dyDescent="0.15">
      <c r="A18" s="5">
        <v>43356</v>
      </c>
      <c r="B18" s="5" t="s">
        <v>7</v>
      </c>
      <c r="C18" s="18"/>
      <c r="D18" s="8"/>
      <c r="F18" s="18" t="s">
        <v>20</v>
      </c>
      <c r="G18" s="8">
        <v>-28</v>
      </c>
      <c r="I18" s="18"/>
      <c r="J18" s="8"/>
      <c r="L18" s="18"/>
      <c r="M18" s="8"/>
    </row>
    <row r="19" spans="1:13" x14ac:dyDescent="0.15">
      <c r="A19" s="5"/>
      <c r="B19" s="5"/>
      <c r="C19" s="18"/>
      <c r="D19" s="8"/>
      <c r="F19" s="18" t="s">
        <v>51</v>
      </c>
      <c r="G19" s="8">
        <v>31</v>
      </c>
      <c r="I19" s="18"/>
      <c r="J19" s="8"/>
      <c r="L19" s="18"/>
      <c r="M19" s="8"/>
    </row>
    <row r="20" spans="1:13" x14ac:dyDescent="0.15">
      <c r="A20" s="5">
        <v>43357</v>
      </c>
      <c r="B20" s="5" t="s">
        <v>8</v>
      </c>
      <c r="C20" s="18"/>
      <c r="D20" s="8"/>
      <c r="F20" s="18" t="s">
        <v>20</v>
      </c>
      <c r="G20" s="8">
        <v>-6</v>
      </c>
      <c r="I20" s="18"/>
      <c r="J20" s="8"/>
      <c r="L20" s="17" t="s">
        <v>113</v>
      </c>
      <c r="M20" s="8">
        <v>-250</v>
      </c>
    </row>
    <row r="21" spans="1:13" x14ac:dyDescent="0.15">
      <c r="A21" s="5">
        <v>43358</v>
      </c>
      <c r="B21" s="5" t="s">
        <v>9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43359</v>
      </c>
      <c r="B22" s="5" t="s">
        <v>10</v>
      </c>
      <c r="C22" s="18"/>
      <c r="D22" s="8"/>
      <c r="F22" s="17"/>
      <c r="G22" s="8"/>
      <c r="I22" s="18"/>
      <c r="J22" s="8"/>
      <c r="L22" s="18"/>
      <c r="M22" s="8"/>
    </row>
    <row r="23" spans="1:13" x14ac:dyDescent="0.15">
      <c r="A23" s="5">
        <v>43360</v>
      </c>
      <c r="B23" s="5" t="s">
        <v>5</v>
      </c>
      <c r="C23" s="18"/>
      <c r="D23" s="8"/>
      <c r="F23" s="17"/>
      <c r="G23" s="8"/>
      <c r="I23" s="18"/>
      <c r="J23" s="8"/>
      <c r="L23" s="18"/>
      <c r="M23" s="8"/>
    </row>
    <row r="24" spans="1:13" x14ac:dyDescent="0.15">
      <c r="A24" s="5">
        <v>43361</v>
      </c>
      <c r="B24" s="5" t="s">
        <v>4</v>
      </c>
      <c r="C24" s="18"/>
      <c r="D24" s="8"/>
      <c r="F24" s="17"/>
      <c r="G24" s="8"/>
      <c r="I24" s="18"/>
      <c r="J24" s="8"/>
      <c r="L24" s="18"/>
      <c r="M24" s="8"/>
    </row>
    <row r="25" spans="1:13" x14ac:dyDescent="0.15">
      <c r="A25" s="5">
        <v>43362</v>
      </c>
      <c r="B25" s="5" t="s">
        <v>6</v>
      </c>
      <c r="C25" s="18"/>
      <c r="D25" s="8"/>
      <c r="F25" s="17"/>
      <c r="G25" s="8"/>
      <c r="I25" s="18"/>
      <c r="J25" s="8"/>
      <c r="L25" s="18"/>
      <c r="M25" s="8"/>
    </row>
    <row r="26" spans="1:13" x14ac:dyDescent="0.15">
      <c r="A26" s="5">
        <v>43363</v>
      </c>
      <c r="B26" s="5" t="s">
        <v>7</v>
      </c>
      <c r="C26" s="18"/>
      <c r="D26" s="8"/>
      <c r="F26" s="17"/>
      <c r="G26" s="8"/>
      <c r="I26" s="18"/>
      <c r="J26" s="8"/>
      <c r="L26" s="18"/>
      <c r="M26" s="8"/>
    </row>
    <row r="27" spans="1:13" x14ac:dyDescent="0.15">
      <c r="A27" s="5">
        <v>43364</v>
      </c>
      <c r="B27" s="5" t="s">
        <v>8</v>
      </c>
      <c r="C27" s="18"/>
      <c r="D27" s="8"/>
      <c r="F27" s="18"/>
      <c r="G27" s="8"/>
      <c r="I27" s="18"/>
      <c r="J27" s="8"/>
      <c r="L27" s="17"/>
      <c r="M27" s="8"/>
    </row>
    <row r="28" spans="1:13" x14ac:dyDescent="0.15">
      <c r="A28" s="5">
        <v>43365</v>
      </c>
      <c r="B28" s="5" t="s">
        <v>9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43366</v>
      </c>
      <c r="B29" s="5" t="s">
        <v>10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43367</v>
      </c>
      <c r="B30" s="5" t="s">
        <v>5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43368</v>
      </c>
      <c r="B31" s="5" t="s">
        <v>4</v>
      </c>
      <c r="C31" s="18"/>
      <c r="D31" s="8"/>
      <c r="F31" s="17"/>
      <c r="G31" s="8"/>
      <c r="I31" s="18"/>
      <c r="J31" s="8"/>
      <c r="L31" s="18"/>
      <c r="M31" s="8"/>
    </row>
    <row r="32" spans="1:13" x14ac:dyDescent="0.15">
      <c r="A32" s="5">
        <v>43369</v>
      </c>
      <c r="B32" s="5" t="s">
        <v>6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43370</v>
      </c>
      <c r="B33" s="5" t="s">
        <v>7</v>
      </c>
      <c r="C33" s="18"/>
      <c r="D33" s="8"/>
      <c r="F33" s="18" t="s">
        <v>114</v>
      </c>
      <c r="G33" s="8">
        <v>9</v>
      </c>
      <c r="I33" s="18"/>
      <c r="J33" s="8"/>
      <c r="L33" s="18"/>
      <c r="M33" s="8"/>
    </row>
    <row r="34" spans="1:13" x14ac:dyDescent="0.15">
      <c r="A34" s="5"/>
      <c r="B34" s="5"/>
      <c r="C34" s="18"/>
      <c r="D34" s="8"/>
      <c r="F34" s="18" t="s">
        <v>115</v>
      </c>
      <c r="G34" s="8">
        <f>228+49</f>
        <v>277</v>
      </c>
      <c r="I34" s="18"/>
      <c r="J34" s="8"/>
      <c r="L34" s="18"/>
      <c r="M34" s="8"/>
    </row>
    <row r="35" spans="1:13" x14ac:dyDescent="0.15">
      <c r="A35" s="5"/>
      <c r="B35" s="5"/>
      <c r="C35" s="18"/>
      <c r="D35" s="8"/>
      <c r="F35" s="18" t="s">
        <v>111</v>
      </c>
      <c r="G35" s="8">
        <v>60</v>
      </c>
      <c r="I35" s="18"/>
      <c r="J35" s="8"/>
      <c r="L35" s="18"/>
      <c r="M35" s="8"/>
    </row>
    <row r="36" spans="1:13" x14ac:dyDescent="0.15">
      <c r="A36" s="5">
        <v>43371</v>
      </c>
      <c r="B36" s="5" t="s">
        <v>8</v>
      </c>
      <c r="C36" s="18"/>
      <c r="D36" s="8"/>
      <c r="F36" s="18"/>
      <c r="G36" s="8"/>
      <c r="I36" s="18"/>
      <c r="J36" s="8"/>
      <c r="L36" s="17"/>
      <c r="M36" s="8"/>
    </row>
    <row r="37" spans="1:13" x14ac:dyDescent="0.15">
      <c r="A37" s="5">
        <v>43372</v>
      </c>
      <c r="B37" s="5" t="s">
        <v>9</v>
      </c>
      <c r="C37" s="18"/>
      <c r="D37" s="8"/>
      <c r="F37" s="18"/>
      <c r="G37" s="8"/>
      <c r="I37" s="18"/>
      <c r="J37" s="8"/>
      <c r="L37" s="18"/>
      <c r="M37" s="8"/>
    </row>
    <row r="38" spans="1:13" ht="14.25" thickBot="1" x14ac:dyDescent="0.2">
      <c r="A38" s="5">
        <v>43373</v>
      </c>
      <c r="B38" s="5" t="s">
        <v>10</v>
      </c>
      <c r="F38" s="21"/>
      <c r="G38" s="10"/>
      <c r="I38" s="21"/>
      <c r="J38" s="10"/>
      <c r="L38" s="21"/>
      <c r="M38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37"/>
  <sheetViews>
    <sheetView topLeftCell="A19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3.125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SUM(D3:D34)</f>
        <v>0</v>
      </c>
      <c r="D2" s="43"/>
      <c r="E2" s="3"/>
      <c r="F2" s="42">
        <f>SUM(G3:G37)</f>
        <v>472.5</v>
      </c>
      <c r="G2" s="43"/>
      <c r="H2" s="14"/>
      <c r="I2" s="42">
        <f>SUM(J3:J37)</f>
        <v>-172</v>
      </c>
      <c r="J2" s="43"/>
      <c r="K2" s="14"/>
      <c r="L2" s="42">
        <f>SUM(M3:M37)</f>
        <v>-944.5</v>
      </c>
      <c r="M2" s="43"/>
    </row>
    <row r="3" spans="1:13" x14ac:dyDescent="0.15">
      <c r="A3" s="5">
        <v>43313</v>
      </c>
      <c r="B3" s="5" t="s">
        <v>6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43314</v>
      </c>
      <c r="B4" s="5" t="s">
        <v>7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43315</v>
      </c>
      <c r="B5" s="5" t="s">
        <v>8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43316</v>
      </c>
      <c r="B6" s="5" t="s">
        <v>9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43317</v>
      </c>
      <c r="B7" s="5" t="s">
        <v>10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43318</v>
      </c>
      <c r="B8" s="5" t="s">
        <v>5</v>
      </c>
      <c r="C8" s="18"/>
      <c r="D8" s="8"/>
      <c r="F8" s="18"/>
      <c r="G8" s="8"/>
      <c r="I8" s="18" t="s">
        <v>21</v>
      </c>
      <c r="J8" s="8">
        <v>15</v>
      </c>
      <c r="L8" s="18"/>
      <c r="M8" s="8"/>
    </row>
    <row r="9" spans="1:13" x14ac:dyDescent="0.15">
      <c r="A9" s="5">
        <v>43319</v>
      </c>
      <c r="B9" s="5" t="s">
        <v>4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43320</v>
      </c>
      <c r="B10" s="5" t="s">
        <v>6</v>
      </c>
      <c r="C10" s="18"/>
      <c r="D10" s="8"/>
      <c r="F10" s="18" t="s">
        <v>102</v>
      </c>
      <c r="G10" s="8">
        <v>-7</v>
      </c>
      <c r="I10" s="18"/>
      <c r="J10" s="8"/>
      <c r="L10" s="18"/>
      <c r="M10" s="8"/>
    </row>
    <row r="11" spans="1:13" x14ac:dyDescent="0.15">
      <c r="A11" s="5">
        <v>43321</v>
      </c>
      <c r="B11" s="5" t="s">
        <v>7</v>
      </c>
      <c r="C11" s="18"/>
      <c r="D11" s="8"/>
      <c r="F11" s="17" t="s">
        <v>103</v>
      </c>
      <c r="G11" s="8">
        <v>29</v>
      </c>
      <c r="I11" s="18"/>
      <c r="J11" s="8"/>
      <c r="L11" s="17"/>
      <c r="M11" s="8"/>
    </row>
    <row r="12" spans="1:13" x14ac:dyDescent="0.15">
      <c r="A12" s="5">
        <v>43322</v>
      </c>
      <c r="B12" s="5" t="s">
        <v>8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43323</v>
      </c>
      <c r="B13" s="5" t="s">
        <v>9</v>
      </c>
      <c r="C13" s="18"/>
      <c r="D13" s="8"/>
      <c r="F13" s="17"/>
      <c r="G13" s="8"/>
      <c r="I13" s="18"/>
      <c r="J13" s="8"/>
      <c r="L13" s="18"/>
      <c r="M13" s="8"/>
    </row>
    <row r="14" spans="1:13" x14ac:dyDescent="0.15">
      <c r="A14" s="5">
        <v>43324</v>
      </c>
      <c r="B14" s="5" t="s">
        <v>10</v>
      </c>
      <c r="C14" s="18"/>
      <c r="D14" s="8"/>
      <c r="F14" s="17"/>
      <c r="G14" s="8"/>
      <c r="I14" s="17"/>
      <c r="J14" s="8"/>
      <c r="L14" s="18"/>
      <c r="M14" s="8"/>
    </row>
    <row r="15" spans="1:13" x14ac:dyDescent="0.15">
      <c r="A15" s="5">
        <v>43325</v>
      </c>
      <c r="B15" s="5" t="s">
        <v>5</v>
      </c>
      <c r="C15" s="18"/>
      <c r="D15" s="8"/>
      <c r="F15" s="18" t="s">
        <v>106</v>
      </c>
      <c r="G15" s="8">
        <v>-150</v>
      </c>
      <c r="I15" s="18" t="s">
        <v>104</v>
      </c>
      <c r="J15" s="8">
        <v>38</v>
      </c>
      <c r="L15" s="18" t="s">
        <v>105</v>
      </c>
      <c r="M15" s="8">
        <v>-23.5</v>
      </c>
    </row>
    <row r="16" spans="1:13" x14ac:dyDescent="0.15">
      <c r="A16" s="5"/>
      <c r="B16" s="5"/>
      <c r="C16" s="18"/>
      <c r="D16" s="8"/>
      <c r="F16" s="17"/>
      <c r="G16" s="8"/>
      <c r="I16" s="18" t="s">
        <v>106</v>
      </c>
      <c r="J16" s="8">
        <v>-200</v>
      </c>
      <c r="L16" s="18"/>
      <c r="M16" s="8"/>
    </row>
    <row r="17" spans="1:13" x14ac:dyDescent="0.15">
      <c r="A17" s="5">
        <v>43326</v>
      </c>
      <c r="B17" s="5" t="s">
        <v>4</v>
      </c>
      <c r="C17" s="18"/>
      <c r="D17" s="8"/>
      <c r="F17" s="18" t="s">
        <v>27</v>
      </c>
      <c r="G17" s="8">
        <v>600</v>
      </c>
      <c r="I17" s="18" t="s">
        <v>21</v>
      </c>
      <c r="J17" s="8">
        <v>15</v>
      </c>
      <c r="L17" s="17"/>
      <c r="M17" s="8"/>
    </row>
    <row r="18" spans="1:13" x14ac:dyDescent="0.15">
      <c r="A18" s="5"/>
      <c r="B18" s="5"/>
      <c r="C18" s="18"/>
      <c r="D18" s="8"/>
      <c r="F18" s="18" t="s">
        <v>21</v>
      </c>
      <c r="G18" s="8">
        <v>15</v>
      </c>
      <c r="I18" s="18"/>
      <c r="J18" s="8"/>
      <c r="L18" s="17"/>
      <c r="M18" s="8"/>
    </row>
    <row r="19" spans="1:13" x14ac:dyDescent="0.15">
      <c r="A19" s="5">
        <v>43327</v>
      </c>
      <c r="B19" s="5" t="s">
        <v>6</v>
      </c>
      <c r="C19" s="18"/>
      <c r="D19" s="8"/>
      <c r="F19" s="18"/>
      <c r="G19" s="8"/>
      <c r="I19" s="18" t="s">
        <v>20</v>
      </c>
      <c r="J19" s="8">
        <v>50</v>
      </c>
      <c r="L19" s="18"/>
      <c r="M19" s="8"/>
    </row>
    <row r="20" spans="1:13" x14ac:dyDescent="0.15">
      <c r="A20" s="5">
        <v>43328</v>
      </c>
      <c r="B20" s="5" t="s">
        <v>7</v>
      </c>
      <c r="C20" s="18"/>
      <c r="D20" s="8"/>
      <c r="F20" s="17"/>
      <c r="G20" s="8"/>
      <c r="I20" s="18"/>
      <c r="J20" s="8"/>
      <c r="L20" s="18"/>
      <c r="M20" s="8"/>
    </row>
    <row r="21" spans="1:13" x14ac:dyDescent="0.15">
      <c r="A21" s="5">
        <v>43329</v>
      </c>
      <c r="B21" s="5" t="s">
        <v>8</v>
      </c>
      <c r="C21" s="18"/>
      <c r="D21" s="8"/>
      <c r="F21" s="17"/>
      <c r="G21" s="8"/>
      <c r="I21" s="18"/>
      <c r="J21" s="8"/>
      <c r="L21" s="18"/>
      <c r="M21" s="8"/>
    </row>
    <row r="22" spans="1:13" x14ac:dyDescent="0.15">
      <c r="A22" s="5">
        <v>43330</v>
      </c>
      <c r="B22" s="5" t="s">
        <v>9</v>
      </c>
      <c r="C22" s="18"/>
      <c r="D22" s="8"/>
      <c r="F22" s="17"/>
      <c r="G22" s="8"/>
      <c r="I22" s="18"/>
      <c r="J22" s="8"/>
      <c r="L22" s="18"/>
      <c r="M22" s="8"/>
    </row>
    <row r="23" spans="1:13" x14ac:dyDescent="0.15">
      <c r="A23" s="5">
        <v>43331</v>
      </c>
      <c r="B23" s="5" t="s">
        <v>10</v>
      </c>
      <c r="C23" s="18"/>
      <c r="D23" s="8"/>
      <c r="F23" s="17"/>
      <c r="G23" s="8"/>
      <c r="I23" s="18"/>
      <c r="J23" s="8"/>
      <c r="L23" s="18"/>
      <c r="M23" s="8"/>
    </row>
    <row r="24" spans="1:13" x14ac:dyDescent="0.15">
      <c r="A24" s="5">
        <v>43332</v>
      </c>
      <c r="B24" s="5" t="s">
        <v>5</v>
      </c>
      <c r="C24" s="18"/>
      <c r="D24" s="8"/>
      <c r="F24" s="17"/>
      <c r="G24" s="8"/>
      <c r="I24" s="18"/>
      <c r="J24" s="8"/>
      <c r="L24" s="18"/>
      <c r="M24" s="8"/>
    </row>
    <row r="25" spans="1:13" x14ac:dyDescent="0.15">
      <c r="A25" s="5">
        <v>43333</v>
      </c>
      <c r="B25" s="5" t="s">
        <v>4</v>
      </c>
      <c r="C25" s="18"/>
      <c r="D25" s="8"/>
      <c r="F25" s="18"/>
      <c r="G25" s="8"/>
      <c r="I25" s="18"/>
      <c r="J25" s="8"/>
      <c r="L25" s="17"/>
      <c r="M25" s="8"/>
    </row>
    <row r="26" spans="1:13" x14ac:dyDescent="0.15">
      <c r="A26" s="5">
        <v>43334</v>
      </c>
      <c r="B26" s="5" t="s">
        <v>6</v>
      </c>
      <c r="C26" s="18"/>
      <c r="D26" s="8"/>
      <c r="F26" s="18"/>
      <c r="G26" s="8"/>
      <c r="I26" s="18" t="s">
        <v>20</v>
      </c>
      <c r="J26" s="8">
        <v>40</v>
      </c>
      <c r="L26" s="18"/>
      <c r="M26" s="8"/>
    </row>
    <row r="27" spans="1:13" x14ac:dyDescent="0.15">
      <c r="A27" s="5"/>
      <c r="B27" s="5"/>
      <c r="C27" s="18"/>
      <c r="D27" s="8"/>
      <c r="F27" s="18"/>
      <c r="G27" s="8"/>
      <c r="I27" s="18" t="s">
        <v>27</v>
      </c>
      <c r="J27" s="8">
        <v>-60</v>
      </c>
      <c r="L27" s="18"/>
      <c r="M27" s="8"/>
    </row>
    <row r="28" spans="1:13" x14ac:dyDescent="0.15">
      <c r="A28" s="5">
        <v>43335</v>
      </c>
      <c r="B28" s="5" t="s">
        <v>7</v>
      </c>
      <c r="C28" s="18"/>
      <c r="D28" s="8"/>
      <c r="F28" s="18" t="s">
        <v>27</v>
      </c>
      <c r="G28" s="8">
        <v>-486.5</v>
      </c>
      <c r="I28" s="18" t="s">
        <v>27</v>
      </c>
      <c r="J28" s="8">
        <v>-100</v>
      </c>
      <c r="L28" s="18" t="s">
        <v>27</v>
      </c>
      <c r="M28" s="8">
        <v>-878</v>
      </c>
    </row>
    <row r="29" spans="1:13" x14ac:dyDescent="0.15">
      <c r="A29" s="5">
        <v>43336</v>
      </c>
      <c r="B29" s="5" t="s">
        <v>8</v>
      </c>
      <c r="C29" s="18"/>
      <c r="D29" s="8"/>
      <c r="F29" s="18"/>
      <c r="G29" s="8"/>
      <c r="I29" s="18" t="s">
        <v>107</v>
      </c>
      <c r="J29" s="8">
        <v>30</v>
      </c>
      <c r="L29" s="18"/>
      <c r="M29" s="8"/>
    </row>
    <row r="30" spans="1:13" x14ac:dyDescent="0.15">
      <c r="A30" s="5">
        <v>43337</v>
      </c>
      <c r="B30" s="5" t="s">
        <v>9</v>
      </c>
      <c r="C30" s="18"/>
      <c r="D30" s="8"/>
      <c r="F30" s="17"/>
      <c r="G30" s="8"/>
      <c r="I30" s="18"/>
      <c r="J30" s="8"/>
      <c r="L30" s="18"/>
      <c r="M30" s="8"/>
    </row>
    <row r="31" spans="1:13" x14ac:dyDescent="0.15">
      <c r="A31" s="5">
        <v>43338</v>
      </c>
      <c r="B31" s="5" t="s">
        <v>10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43339</v>
      </c>
      <c r="B32" s="5" t="s">
        <v>5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43340</v>
      </c>
      <c r="B33" s="5" t="s">
        <v>4</v>
      </c>
      <c r="C33" s="18"/>
      <c r="D33" s="8"/>
      <c r="F33" s="18"/>
      <c r="G33" s="8"/>
      <c r="I33" s="18"/>
      <c r="J33" s="8"/>
      <c r="L33" s="17"/>
      <c r="M33" s="8"/>
    </row>
    <row r="34" spans="1:13" x14ac:dyDescent="0.15">
      <c r="A34" s="5">
        <v>43341</v>
      </c>
      <c r="B34" s="5" t="s">
        <v>6</v>
      </c>
      <c r="C34" s="18"/>
      <c r="D34" s="8"/>
      <c r="F34" s="18" t="s">
        <v>109</v>
      </c>
      <c r="G34" s="8">
        <v>20</v>
      </c>
      <c r="I34" s="18"/>
      <c r="J34" s="8"/>
      <c r="L34" s="18"/>
      <c r="M34" s="8"/>
    </row>
    <row r="35" spans="1:13" x14ac:dyDescent="0.15">
      <c r="A35" s="5"/>
      <c r="B35" s="5"/>
      <c r="C35" s="23"/>
      <c r="D35" s="15"/>
      <c r="F35" s="18" t="s">
        <v>108</v>
      </c>
      <c r="G35" s="8">
        <v>208</v>
      </c>
      <c r="I35" s="18"/>
      <c r="J35" s="8"/>
      <c r="L35" s="18"/>
      <c r="M35" s="8"/>
    </row>
    <row r="36" spans="1:13" x14ac:dyDescent="0.15">
      <c r="A36" s="5">
        <v>43342</v>
      </c>
      <c r="B36" s="5" t="s">
        <v>7</v>
      </c>
      <c r="F36" s="18" t="s">
        <v>78</v>
      </c>
      <c r="G36" s="8">
        <v>244</v>
      </c>
      <c r="I36" s="18"/>
      <c r="J36" s="8"/>
      <c r="L36" s="18"/>
      <c r="M36" s="8"/>
    </row>
    <row r="37" spans="1:13" ht="14.25" thickBot="1" x14ac:dyDescent="0.2">
      <c r="A37" s="5">
        <v>43343</v>
      </c>
      <c r="B37" s="5" t="s">
        <v>8</v>
      </c>
      <c r="F37" s="21"/>
      <c r="G37" s="10"/>
      <c r="I37" s="21"/>
      <c r="J37" s="10"/>
      <c r="L37" s="21" t="s">
        <v>110</v>
      </c>
      <c r="M37" s="10">
        <v>-43</v>
      </c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37"/>
  <sheetViews>
    <sheetView topLeftCell="A9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SUM(G3:G37)</f>
        <v>-20.6</v>
      </c>
      <c r="G2" s="43"/>
      <c r="H2" s="14"/>
      <c r="I2" s="42">
        <f>SUM(J3:J37)</f>
        <v>49</v>
      </c>
      <c r="J2" s="43"/>
      <c r="K2" s="14"/>
      <c r="L2" s="42">
        <f>SUM(M3:M37)</f>
        <v>210</v>
      </c>
      <c r="M2" s="43"/>
    </row>
    <row r="3" spans="1:13" x14ac:dyDescent="0.15">
      <c r="A3" s="5">
        <v>43282</v>
      </c>
      <c r="B3" s="5" t="s">
        <v>10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43283</v>
      </c>
      <c r="B4" s="5" t="s">
        <v>5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43284</v>
      </c>
      <c r="B5" s="5" t="s">
        <v>4</v>
      </c>
      <c r="C5" s="18"/>
      <c r="D5" s="8"/>
      <c r="F5" s="18"/>
      <c r="G5" s="8"/>
      <c r="I5" s="18" t="s">
        <v>96</v>
      </c>
      <c r="J5" s="8">
        <v>13</v>
      </c>
      <c r="L5" s="17"/>
      <c r="M5" s="8"/>
    </row>
    <row r="6" spans="1:13" x14ac:dyDescent="0.15">
      <c r="A6" s="5">
        <v>43285</v>
      </c>
      <c r="B6" s="5" t="s">
        <v>6</v>
      </c>
      <c r="C6" s="18"/>
      <c r="D6" s="8"/>
      <c r="F6" s="18" t="s">
        <v>97</v>
      </c>
      <c r="G6" s="8">
        <v>9</v>
      </c>
      <c r="I6" s="18"/>
      <c r="J6" s="8"/>
      <c r="L6" s="17"/>
      <c r="M6" s="8"/>
    </row>
    <row r="7" spans="1:13" x14ac:dyDescent="0.15">
      <c r="A7" s="5">
        <v>43286</v>
      </c>
      <c r="B7" s="5" t="s">
        <v>7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43287</v>
      </c>
      <c r="B8" s="5" t="s">
        <v>8</v>
      </c>
      <c r="C8" s="18"/>
      <c r="D8" s="8"/>
      <c r="F8" s="18" t="s">
        <v>98</v>
      </c>
      <c r="G8" s="8">
        <v>30</v>
      </c>
      <c r="I8" s="18" t="s">
        <v>99</v>
      </c>
      <c r="J8" s="8">
        <v>36</v>
      </c>
      <c r="L8" s="18"/>
      <c r="M8" s="8"/>
    </row>
    <row r="9" spans="1:13" x14ac:dyDescent="0.15">
      <c r="A9" s="5"/>
      <c r="B9" s="5"/>
      <c r="C9" s="18"/>
      <c r="D9" s="8"/>
      <c r="F9" s="18"/>
      <c r="G9" s="8">
        <v>-4</v>
      </c>
      <c r="I9" s="18"/>
      <c r="J9" s="8"/>
      <c r="L9" s="18"/>
      <c r="M9" s="8"/>
    </row>
    <row r="10" spans="1:13" x14ac:dyDescent="0.15">
      <c r="A10" s="5"/>
      <c r="B10" s="5"/>
      <c r="C10" s="18"/>
      <c r="D10" s="8"/>
      <c r="F10" s="18" t="s">
        <v>32</v>
      </c>
      <c r="G10" s="8">
        <v>-25</v>
      </c>
      <c r="I10" s="18"/>
      <c r="J10" s="8"/>
      <c r="L10" s="18"/>
      <c r="M10" s="8"/>
    </row>
    <row r="11" spans="1:13" x14ac:dyDescent="0.15">
      <c r="A11" s="5"/>
      <c r="B11" s="5"/>
      <c r="C11" s="18"/>
      <c r="D11" s="8"/>
      <c r="F11" s="18" t="s">
        <v>99</v>
      </c>
      <c r="G11" s="8">
        <v>29</v>
      </c>
      <c r="I11" s="18"/>
      <c r="J11" s="8"/>
      <c r="L11" s="18"/>
      <c r="M11" s="8"/>
    </row>
    <row r="12" spans="1:13" x14ac:dyDescent="0.15">
      <c r="A12" s="5"/>
      <c r="B12" s="5"/>
      <c r="C12" s="18"/>
      <c r="D12" s="8"/>
      <c r="F12" s="18" t="s">
        <v>27</v>
      </c>
      <c r="G12" s="8">
        <v>-3.6</v>
      </c>
      <c r="I12" s="18"/>
      <c r="J12" s="8"/>
      <c r="L12" s="18"/>
      <c r="M12" s="8"/>
    </row>
    <row r="13" spans="1:13" x14ac:dyDescent="0.15">
      <c r="A13" s="5">
        <v>43288</v>
      </c>
      <c r="B13" s="5" t="s">
        <v>9</v>
      </c>
      <c r="C13" s="18"/>
      <c r="D13" s="8"/>
      <c r="F13" s="18" t="s">
        <v>32</v>
      </c>
      <c r="G13" s="8">
        <v>-33</v>
      </c>
      <c r="I13" s="18"/>
      <c r="J13" s="8"/>
      <c r="L13" s="17"/>
      <c r="M13" s="8"/>
    </row>
    <row r="14" spans="1:13" x14ac:dyDescent="0.15">
      <c r="A14" s="5">
        <v>43289</v>
      </c>
      <c r="B14" s="5" t="s">
        <v>10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43290</v>
      </c>
      <c r="B15" s="5" t="s">
        <v>5</v>
      </c>
      <c r="C15" s="18"/>
      <c r="D15" s="8"/>
      <c r="F15" s="17"/>
      <c r="G15" s="8"/>
      <c r="I15" s="18"/>
      <c r="J15" s="8"/>
      <c r="L15" s="17"/>
      <c r="M15" s="8"/>
    </row>
    <row r="16" spans="1:13" x14ac:dyDescent="0.15">
      <c r="A16" s="5">
        <v>43291</v>
      </c>
      <c r="B16" s="5" t="s">
        <v>4</v>
      </c>
      <c r="C16" s="18"/>
      <c r="D16" s="8"/>
      <c r="F16" s="18"/>
      <c r="G16" s="8"/>
      <c r="I16" s="18"/>
      <c r="J16" s="8"/>
      <c r="L16" s="17"/>
      <c r="M16" s="8"/>
    </row>
    <row r="17" spans="1:13" x14ac:dyDescent="0.15">
      <c r="A17" s="5">
        <v>43292</v>
      </c>
      <c r="B17" s="5" t="s">
        <v>6</v>
      </c>
      <c r="C17" s="18"/>
      <c r="D17" s="8"/>
      <c r="F17" s="17"/>
      <c r="G17" s="8"/>
      <c r="I17" s="18"/>
      <c r="J17" s="8"/>
      <c r="L17" s="18"/>
      <c r="M17" s="8"/>
    </row>
    <row r="18" spans="1:13" x14ac:dyDescent="0.15">
      <c r="A18" s="5">
        <v>43293</v>
      </c>
      <c r="B18" s="5" t="s">
        <v>7</v>
      </c>
      <c r="C18" s="18"/>
      <c r="D18" s="8"/>
      <c r="F18" s="17"/>
      <c r="G18" s="8"/>
      <c r="I18" s="17"/>
      <c r="J18" s="8"/>
      <c r="L18" s="18"/>
      <c r="M18" s="8"/>
    </row>
    <row r="19" spans="1:13" x14ac:dyDescent="0.15">
      <c r="A19" s="5">
        <v>43294</v>
      </c>
      <c r="B19" s="5" t="s">
        <v>8</v>
      </c>
      <c r="C19" s="18"/>
      <c r="D19" s="8"/>
      <c r="F19" s="17"/>
      <c r="G19" s="8"/>
      <c r="I19" s="18"/>
      <c r="J19" s="8"/>
      <c r="L19" s="18"/>
      <c r="M19" s="8"/>
    </row>
    <row r="20" spans="1:13" x14ac:dyDescent="0.15">
      <c r="A20" s="5">
        <v>43295</v>
      </c>
      <c r="B20" s="5" t="s">
        <v>9</v>
      </c>
      <c r="C20" s="18"/>
      <c r="D20" s="8"/>
      <c r="F20" s="18"/>
      <c r="G20" s="8"/>
      <c r="I20" s="18"/>
      <c r="J20" s="8"/>
      <c r="L20" s="17"/>
      <c r="M20" s="8"/>
    </row>
    <row r="21" spans="1:13" x14ac:dyDescent="0.15">
      <c r="A21" s="5">
        <v>43296</v>
      </c>
      <c r="B21" s="5" t="s">
        <v>10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43297</v>
      </c>
      <c r="B22" s="5" t="s">
        <v>5</v>
      </c>
      <c r="C22" s="18"/>
      <c r="D22" s="8"/>
      <c r="F22" s="17"/>
      <c r="G22" s="8"/>
      <c r="I22" s="18"/>
      <c r="J22" s="8"/>
      <c r="L22" s="18"/>
      <c r="M22" s="8"/>
    </row>
    <row r="23" spans="1:13" x14ac:dyDescent="0.15">
      <c r="A23" s="5">
        <v>43298</v>
      </c>
      <c r="B23" s="5" t="s">
        <v>4</v>
      </c>
      <c r="C23" s="18"/>
      <c r="D23" s="8"/>
      <c r="F23" s="17"/>
      <c r="G23" s="8"/>
      <c r="I23" s="18"/>
      <c r="J23" s="8"/>
      <c r="L23" s="18"/>
      <c r="M23" s="8"/>
    </row>
    <row r="24" spans="1:13" x14ac:dyDescent="0.15">
      <c r="A24" s="5">
        <v>43299</v>
      </c>
      <c r="B24" s="5" t="s">
        <v>6</v>
      </c>
      <c r="C24" s="18"/>
      <c r="D24" s="8"/>
      <c r="F24" s="17"/>
      <c r="G24" s="8"/>
      <c r="I24" s="18"/>
      <c r="J24" s="8"/>
      <c r="L24" s="18"/>
      <c r="M24" s="8"/>
    </row>
    <row r="25" spans="1:13" x14ac:dyDescent="0.15">
      <c r="A25" s="5">
        <v>43300</v>
      </c>
      <c r="B25" s="5" t="s">
        <v>7</v>
      </c>
      <c r="C25" s="18"/>
      <c r="D25" s="8"/>
      <c r="F25" s="17"/>
      <c r="G25" s="8"/>
      <c r="I25" s="18"/>
      <c r="J25" s="8"/>
      <c r="L25" s="18"/>
      <c r="M25" s="8"/>
    </row>
    <row r="26" spans="1:13" x14ac:dyDescent="0.15">
      <c r="A26" s="5">
        <v>43301</v>
      </c>
      <c r="B26" s="5" t="s">
        <v>8</v>
      </c>
      <c r="C26" s="18"/>
      <c r="D26" s="8"/>
      <c r="F26" s="17"/>
      <c r="G26" s="8"/>
      <c r="I26" s="18"/>
      <c r="J26" s="8"/>
      <c r="L26" s="18"/>
      <c r="M26" s="8"/>
    </row>
    <row r="27" spans="1:13" x14ac:dyDescent="0.15">
      <c r="A27" s="5">
        <v>43302</v>
      </c>
      <c r="B27" s="5" t="s">
        <v>9</v>
      </c>
      <c r="C27" s="18"/>
      <c r="D27" s="8"/>
      <c r="F27" s="18"/>
      <c r="G27" s="8"/>
      <c r="I27" s="18"/>
      <c r="J27" s="8"/>
      <c r="L27" s="17"/>
      <c r="M27" s="8"/>
    </row>
    <row r="28" spans="1:13" x14ac:dyDescent="0.15">
      <c r="A28" s="5">
        <v>43303</v>
      </c>
      <c r="B28" s="5" t="s">
        <v>10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43304</v>
      </c>
      <c r="B29" s="5" t="s">
        <v>5</v>
      </c>
      <c r="C29" s="18"/>
      <c r="D29" s="8"/>
      <c r="F29" s="17"/>
      <c r="G29" s="8"/>
      <c r="I29" s="18"/>
      <c r="J29" s="8"/>
      <c r="L29" s="18"/>
      <c r="M29" s="8"/>
    </row>
    <row r="30" spans="1:13" x14ac:dyDescent="0.15">
      <c r="A30" s="5">
        <v>43305</v>
      </c>
      <c r="B30" s="5" t="s">
        <v>4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43306</v>
      </c>
      <c r="B31" s="5" t="s">
        <v>6</v>
      </c>
      <c r="C31" s="18"/>
      <c r="D31" s="8"/>
      <c r="F31" s="17"/>
      <c r="G31" s="8"/>
      <c r="I31" s="18"/>
      <c r="J31" s="8"/>
      <c r="L31" s="18"/>
      <c r="M31" s="8"/>
    </row>
    <row r="32" spans="1:13" x14ac:dyDescent="0.15">
      <c r="A32" s="5">
        <v>43307</v>
      </c>
      <c r="B32" s="5" t="s">
        <v>7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43308</v>
      </c>
      <c r="B33" s="5" t="s">
        <v>8</v>
      </c>
      <c r="C33" s="18"/>
      <c r="D33" s="8"/>
      <c r="F33" s="18"/>
      <c r="G33" s="8"/>
      <c r="I33" s="18"/>
      <c r="J33" s="8"/>
      <c r="L33" s="18" t="s">
        <v>100</v>
      </c>
      <c r="M33" s="8">
        <v>210</v>
      </c>
    </row>
    <row r="34" spans="1:13" x14ac:dyDescent="0.15">
      <c r="A34" s="5">
        <v>43309</v>
      </c>
      <c r="B34" s="5" t="s">
        <v>9</v>
      </c>
      <c r="C34" s="18"/>
      <c r="D34" s="8"/>
      <c r="F34" s="18"/>
      <c r="G34" s="8"/>
      <c r="I34" s="18"/>
      <c r="J34" s="8"/>
      <c r="L34" s="17"/>
      <c r="M34" s="8"/>
    </row>
    <row r="35" spans="1:13" x14ac:dyDescent="0.15">
      <c r="A35" s="5">
        <v>43310</v>
      </c>
      <c r="B35" s="5" t="s">
        <v>10</v>
      </c>
      <c r="C35" s="18"/>
      <c r="D35" s="8"/>
      <c r="F35" s="18"/>
      <c r="G35" s="8"/>
      <c r="I35" s="18"/>
      <c r="J35" s="8"/>
      <c r="L35" s="18"/>
      <c r="M35" s="8"/>
    </row>
    <row r="36" spans="1:13" x14ac:dyDescent="0.15">
      <c r="A36" s="5">
        <v>43311</v>
      </c>
      <c r="B36" s="5" t="s">
        <v>5</v>
      </c>
      <c r="F36" s="18"/>
      <c r="G36" s="8"/>
      <c r="I36" s="18"/>
      <c r="J36" s="8"/>
      <c r="L36" s="18"/>
      <c r="M36" s="8"/>
    </row>
    <row r="37" spans="1:13" ht="14.25" thickBot="1" x14ac:dyDescent="0.2">
      <c r="A37" s="5">
        <v>43312</v>
      </c>
      <c r="B37" s="5" t="s">
        <v>4</v>
      </c>
      <c r="F37" s="21" t="s">
        <v>101</v>
      </c>
      <c r="G37" s="10">
        <v>-23</v>
      </c>
      <c r="I37" s="21"/>
      <c r="J37" s="10"/>
      <c r="L37" s="21"/>
      <c r="M37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34"/>
  <sheetViews>
    <sheetView topLeftCell="A19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SUM(D3:D33)</f>
        <v>0</v>
      </c>
      <c r="D2" s="43"/>
      <c r="E2" s="3"/>
      <c r="F2" s="42">
        <f>SUM(G3:G34)</f>
        <v>-86.5</v>
      </c>
      <c r="G2" s="43"/>
      <c r="H2" s="14"/>
      <c r="I2" s="42">
        <f>SUM(J3:J34)</f>
        <v>30</v>
      </c>
      <c r="J2" s="43"/>
      <c r="K2" s="14"/>
      <c r="L2" s="42">
        <f>SUM(M3:M34)</f>
        <v>-25</v>
      </c>
      <c r="M2" s="43"/>
    </row>
    <row r="3" spans="1:13" x14ac:dyDescent="0.15">
      <c r="A3" s="5">
        <v>43252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43253</v>
      </c>
      <c r="B4" s="5" t="s">
        <v>6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43254</v>
      </c>
      <c r="B5" s="5" t="s">
        <v>7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43255</v>
      </c>
      <c r="B6" s="5" t="s">
        <v>8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43256</v>
      </c>
      <c r="B7" s="5" t="s">
        <v>9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43257</v>
      </c>
      <c r="B8" s="5" t="s">
        <v>10</v>
      </c>
      <c r="C8" s="18"/>
      <c r="D8" s="8"/>
      <c r="F8" s="18"/>
      <c r="G8" s="8"/>
      <c r="I8" s="18"/>
      <c r="J8" s="8"/>
      <c r="L8" s="18"/>
      <c r="M8" s="8"/>
    </row>
    <row r="9" spans="1:13" x14ac:dyDescent="0.15">
      <c r="A9" s="5">
        <v>43258</v>
      </c>
      <c r="B9" s="5" t="s">
        <v>5</v>
      </c>
      <c r="C9" s="18"/>
      <c r="D9" s="8"/>
      <c r="F9" s="18" t="s">
        <v>19</v>
      </c>
      <c r="G9" s="8">
        <v>-100</v>
      </c>
      <c r="I9" s="18" t="s">
        <v>20</v>
      </c>
      <c r="J9" s="8">
        <v>30</v>
      </c>
      <c r="L9" s="17"/>
      <c r="M9" s="8"/>
    </row>
    <row r="10" spans="1:13" x14ac:dyDescent="0.15">
      <c r="A10" s="5">
        <v>43259</v>
      </c>
      <c r="B10" s="5" t="s">
        <v>4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43260</v>
      </c>
      <c r="B11" s="5" t="s">
        <v>6</v>
      </c>
      <c r="C11" s="18"/>
      <c r="D11" s="8"/>
      <c r="F11" s="17" t="s">
        <v>27</v>
      </c>
      <c r="G11" s="8">
        <v>-27</v>
      </c>
      <c r="I11" s="18"/>
      <c r="J11" s="8"/>
      <c r="L11" s="17"/>
      <c r="M11" s="8"/>
    </row>
    <row r="12" spans="1:13" x14ac:dyDescent="0.15">
      <c r="A12" s="5">
        <v>43261</v>
      </c>
      <c r="B12" s="5" t="s">
        <v>7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43262</v>
      </c>
      <c r="B13" s="5" t="s">
        <v>8</v>
      </c>
      <c r="C13" s="18"/>
      <c r="D13" s="8"/>
      <c r="F13" s="17" t="s">
        <v>20</v>
      </c>
      <c r="G13" s="8">
        <v>-20</v>
      </c>
      <c r="I13" s="18"/>
      <c r="J13" s="8"/>
      <c r="L13" s="18"/>
      <c r="M13" s="8"/>
    </row>
    <row r="14" spans="1:13" x14ac:dyDescent="0.15">
      <c r="A14" s="5"/>
      <c r="B14" s="5"/>
      <c r="C14" s="18"/>
      <c r="D14" s="8"/>
      <c r="F14" s="17" t="s">
        <v>76</v>
      </c>
      <c r="G14" s="8">
        <v>55.5</v>
      </c>
      <c r="I14" s="18"/>
      <c r="J14" s="8"/>
      <c r="L14" s="18"/>
      <c r="M14" s="8"/>
    </row>
    <row r="15" spans="1:13" x14ac:dyDescent="0.15">
      <c r="A15" s="5">
        <v>43263</v>
      </c>
      <c r="B15" s="5" t="s">
        <v>9</v>
      </c>
      <c r="C15" s="18"/>
      <c r="D15" s="8"/>
      <c r="F15" s="17" t="s">
        <v>89</v>
      </c>
      <c r="G15" s="8">
        <f>-18-18-19</f>
        <v>-55</v>
      </c>
      <c r="I15" s="17"/>
      <c r="J15" s="8"/>
      <c r="L15" s="18"/>
      <c r="M15" s="8"/>
    </row>
    <row r="16" spans="1:13" x14ac:dyDescent="0.15">
      <c r="A16" s="5">
        <v>43264</v>
      </c>
      <c r="B16" s="5" t="s">
        <v>10</v>
      </c>
      <c r="C16" s="18"/>
      <c r="D16" s="8"/>
      <c r="F16" s="17" t="s">
        <v>90</v>
      </c>
      <c r="G16" s="8">
        <v>151</v>
      </c>
      <c r="I16" s="18"/>
      <c r="J16" s="8"/>
      <c r="L16" s="18"/>
      <c r="M16" s="8"/>
    </row>
    <row r="17" spans="1:13" x14ac:dyDescent="0.15">
      <c r="A17" s="5">
        <v>43265</v>
      </c>
      <c r="B17" s="5" t="s">
        <v>5</v>
      </c>
      <c r="C17" s="18"/>
      <c r="D17" s="8"/>
      <c r="F17" s="18"/>
      <c r="G17" s="8"/>
      <c r="I17" s="18"/>
      <c r="J17" s="8"/>
      <c r="L17" s="17"/>
      <c r="M17" s="8"/>
    </row>
    <row r="18" spans="1:13" x14ac:dyDescent="0.15">
      <c r="A18" s="5">
        <v>43266</v>
      </c>
      <c r="B18" s="5" t="s">
        <v>4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43267</v>
      </c>
      <c r="B19" s="5" t="s">
        <v>6</v>
      </c>
      <c r="C19" s="18"/>
      <c r="D19" s="8"/>
      <c r="F19" s="17"/>
      <c r="G19" s="8"/>
      <c r="I19" s="18"/>
      <c r="J19" s="8"/>
      <c r="L19" s="18"/>
      <c r="M19" s="8"/>
    </row>
    <row r="20" spans="1:13" x14ac:dyDescent="0.15">
      <c r="A20" s="5">
        <v>43268</v>
      </c>
      <c r="B20" s="5" t="s">
        <v>7</v>
      </c>
      <c r="C20" s="18"/>
      <c r="D20" s="8"/>
      <c r="F20" s="17"/>
      <c r="G20" s="8"/>
      <c r="I20" s="18"/>
      <c r="J20" s="8"/>
      <c r="L20" s="18"/>
      <c r="M20" s="8"/>
    </row>
    <row r="21" spans="1:13" x14ac:dyDescent="0.15">
      <c r="A21" s="5">
        <v>43269</v>
      </c>
      <c r="B21" s="5" t="s">
        <v>8</v>
      </c>
      <c r="C21" s="18"/>
      <c r="D21" s="8"/>
      <c r="F21" s="17"/>
      <c r="G21" s="8"/>
      <c r="I21" s="18"/>
      <c r="J21" s="8"/>
      <c r="L21" s="18"/>
      <c r="M21" s="8"/>
    </row>
    <row r="22" spans="1:13" x14ac:dyDescent="0.15">
      <c r="A22" s="5">
        <v>43270</v>
      </c>
      <c r="B22" s="5" t="s">
        <v>9</v>
      </c>
      <c r="C22" s="18"/>
      <c r="D22" s="8"/>
      <c r="F22" s="17" t="s">
        <v>20</v>
      </c>
      <c r="G22" s="8">
        <v>-31</v>
      </c>
      <c r="I22" s="18"/>
      <c r="J22" s="8"/>
      <c r="L22" s="18"/>
      <c r="M22" s="8"/>
    </row>
    <row r="23" spans="1:13" x14ac:dyDescent="0.15">
      <c r="A23" s="5">
        <v>43271</v>
      </c>
      <c r="B23" s="5" t="s">
        <v>10</v>
      </c>
      <c r="C23" s="18"/>
      <c r="D23" s="8"/>
      <c r="F23" s="17" t="s">
        <v>91</v>
      </c>
      <c r="G23" s="8">
        <v>-18</v>
      </c>
      <c r="I23" s="18"/>
      <c r="J23" s="8"/>
      <c r="L23" s="18"/>
      <c r="M23" s="8"/>
    </row>
    <row r="24" spans="1:13" x14ac:dyDescent="0.15">
      <c r="A24" s="5">
        <v>43272</v>
      </c>
      <c r="B24" s="5" t="s">
        <v>5</v>
      </c>
      <c r="C24" s="18"/>
      <c r="D24" s="8"/>
      <c r="F24" s="18"/>
      <c r="G24" s="8"/>
      <c r="I24" s="18"/>
      <c r="J24" s="8"/>
      <c r="L24" s="17"/>
      <c r="M24" s="8"/>
    </row>
    <row r="25" spans="1:13" x14ac:dyDescent="0.15">
      <c r="A25" s="5">
        <v>43273</v>
      </c>
      <c r="B25" s="5" t="s">
        <v>4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43274</v>
      </c>
      <c r="B26" s="5" t="s">
        <v>6</v>
      </c>
      <c r="C26" s="18"/>
      <c r="D26" s="8"/>
      <c r="F26" s="17" t="s">
        <v>51</v>
      </c>
      <c r="G26" s="8">
        <v>-82</v>
      </c>
      <c r="I26" s="18"/>
      <c r="J26" s="8"/>
      <c r="L26" s="18" t="s">
        <v>92</v>
      </c>
      <c r="M26" s="8">
        <v>-25</v>
      </c>
    </row>
    <row r="27" spans="1:13" x14ac:dyDescent="0.15">
      <c r="A27" s="5">
        <v>43275</v>
      </c>
      <c r="B27" s="5" t="s">
        <v>7</v>
      </c>
      <c r="C27" s="18"/>
      <c r="D27" s="8"/>
      <c r="F27" s="18" t="s">
        <v>93</v>
      </c>
      <c r="G27" s="8">
        <v>140</v>
      </c>
      <c r="I27" s="18"/>
      <c r="J27" s="8"/>
      <c r="L27" s="18"/>
      <c r="M27" s="8"/>
    </row>
    <row r="28" spans="1:13" x14ac:dyDescent="0.15">
      <c r="A28" s="5"/>
      <c r="B28" s="5"/>
      <c r="C28" s="18"/>
      <c r="D28" s="8"/>
      <c r="F28" s="17" t="s">
        <v>51</v>
      </c>
      <c r="G28" s="8">
        <v>-23</v>
      </c>
      <c r="I28" s="18"/>
      <c r="J28" s="8"/>
      <c r="L28" s="18"/>
      <c r="M28" s="8"/>
    </row>
    <row r="29" spans="1:13" x14ac:dyDescent="0.15">
      <c r="A29" s="5">
        <v>43276</v>
      </c>
      <c r="B29" s="5" t="s">
        <v>8</v>
      </c>
      <c r="C29" s="18"/>
      <c r="D29" s="8"/>
      <c r="F29" s="17"/>
      <c r="G29" s="8"/>
      <c r="I29" s="18"/>
      <c r="J29" s="8"/>
      <c r="L29" s="18"/>
      <c r="M29" s="8"/>
    </row>
    <row r="30" spans="1:13" x14ac:dyDescent="0.15">
      <c r="A30" s="5">
        <v>43277</v>
      </c>
      <c r="B30" s="5" t="s">
        <v>9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43278</v>
      </c>
      <c r="B31" s="5" t="s">
        <v>10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43279</v>
      </c>
      <c r="B32" s="5" t="s">
        <v>5</v>
      </c>
      <c r="C32" s="18"/>
      <c r="D32" s="8"/>
      <c r="F32" s="18"/>
      <c r="G32" s="8"/>
      <c r="I32" s="18"/>
      <c r="J32" s="8"/>
      <c r="L32" s="17"/>
      <c r="M32" s="8"/>
    </row>
    <row r="33" spans="1:13" x14ac:dyDescent="0.15">
      <c r="A33" s="5">
        <v>43280</v>
      </c>
      <c r="B33" s="5" t="s">
        <v>4</v>
      </c>
      <c r="C33" s="18"/>
      <c r="D33" s="8"/>
      <c r="F33" s="18" t="s">
        <v>94</v>
      </c>
      <c r="G33" s="8">
        <v>-100</v>
      </c>
      <c r="I33" s="18"/>
      <c r="J33" s="8"/>
      <c r="L33" s="18"/>
      <c r="M33" s="8"/>
    </row>
    <row r="34" spans="1:13" ht="14.25" thickBot="1" x14ac:dyDescent="0.2">
      <c r="A34" s="5">
        <v>43281</v>
      </c>
      <c r="B34" s="5" t="s">
        <v>6</v>
      </c>
      <c r="F34" s="21" t="s">
        <v>95</v>
      </c>
      <c r="G34" s="10">
        <v>23</v>
      </c>
      <c r="I34" s="21"/>
      <c r="J34" s="10"/>
      <c r="L34" s="21"/>
      <c r="M34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39"/>
  <sheetViews>
    <sheetView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SUM(D3:D37)</f>
        <v>0</v>
      </c>
      <c r="D2" s="43"/>
      <c r="E2" s="3"/>
      <c r="F2" s="42">
        <f>SUM(G3:G39)</f>
        <v>63.399999999999977</v>
      </c>
      <c r="G2" s="43"/>
      <c r="H2" s="14"/>
      <c r="I2" s="42">
        <f>SUM(J3:J39)</f>
        <v>40</v>
      </c>
      <c r="J2" s="43"/>
      <c r="K2" s="14"/>
      <c r="L2" s="42">
        <f>SUM(M3:M39)</f>
        <v>0</v>
      </c>
      <c r="M2" s="43"/>
    </row>
    <row r="3" spans="1:13" x14ac:dyDescent="0.15">
      <c r="A3" s="5">
        <v>43221</v>
      </c>
      <c r="B3" s="5" t="s">
        <v>4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43222</v>
      </c>
      <c r="B4" s="5" t="s">
        <v>6</v>
      </c>
      <c r="C4" s="18"/>
      <c r="D4" s="8"/>
      <c r="F4" s="18" t="s">
        <v>76</v>
      </c>
      <c r="G4" s="8">
        <v>135</v>
      </c>
      <c r="I4" s="18"/>
      <c r="J4" s="8"/>
      <c r="L4" s="17"/>
      <c r="M4" s="8"/>
    </row>
    <row r="5" spans="1:13" x14ac:dyDescent="0.15">
      <c r="A5" s="5"/>
      <c r="B5" s="5"/>
      <c r="C5" s="18"/>
      <c r="D5" s="8"/>
      <c r="F5" s="18" t="s">
        <v>77</v>
      </c>
      <c r="G5" s="8">
        <v>11</v>
      </c>
      <c r="I5" s="18"/>
      <c r="J5" s="8"/>
      <c r="L5" s="17"/>
      <c r="M5" s="8"/>
    </row>
    <row r="6" spans="1:13" x14ac:dyDescent="0.15">
      <c r="A6" s="5">
        <v>43223</v>
      </c>
      <c r="B6" s="5" t="s">
        <v>7</v>
      </c>
      <c r="C6" s="18"/>
      <c r="D6" s="8"/>
      <c r="F6" s="18" t="s">
        <v>15</v>
      </c>
      <c r="G6" s="8">
        <v>11</v>
      </c>
      <c r="I6" s="18" t="s">
        <v>21</v>
      </c>
      <c r="J6" s="8">
        <v>15</v>
      </c>
      <c r="L6" s="17"/>
      <c r="M6" s="8"/>
    </row>
    <row r="7" spans="1:13" x14ac:dyDescent="0.15">
      <c r="A7" s="5">
        <v>43224</v>
      </c>
      <c r="B7" s="5" t="s">
        <v>8</v>
      </c>
      <c r="C7" s="18"/>
      <c r="D7" s="8"/>
      <c r="F7" s="18" t="s">
        <v>15</v>
      </c>
      <c r="G7" s="8">
        <v>11</v>
      </c>
      <c r="I7" s="18"/>
      <c r="J7" s="8"/>
      <c r="L7" s="17"/>
      <c r="M7" s="8"/>
    </row>
    <row r="8" spans="1:13" x14ac:dyDescent="0.15">
      <c r="A8" s="5">
        <v>43225</v>
      </c>
      <c r="B8" s="5" t="s">
        <v>9</v>
      </c>
      <c r="C8" s="18"/>
      <c r="D8" s="8"/>
      <c r="F8" s="18" t="s">
        <v>78</v>
      </c>
      <c r="G8" s="8">
        <v>87</v>
      </c>
      <c r="I8" s="18"/>
      <c r="J8" s="8"/>
      <c r="L8" s="17"/>
      <c r="M8" s="8"/>
    </row>
    <row r="9" spans="1:13" x14ac:dyDescent="0.15">
      <c r="A9" s="5">
        <v>43226</v>
      </c>
      <c r="B9" s="5" t="s">
        <v>10</v>
      </c>
      <c r="C9" s="18"/>
      <c r="D9" s="8"/>
      <c r="F9" s="18"/>
      <c r="G9" s="8"/>
      <c r="I9" s="18"/>
      <c r="J9" s="8"/>
      <c r="L9" s="18"/>
      <c r="M9" s="8"/>
    </row>
    <row r="10" spans="1:13" x14ac:dyDescent="0.15">
      <c r="A10" s="5">
        <v>43227</v>
      </c>
      <c r="B10" s="5" t="s">
        <v>5</v>
      </c>
      <c r="C10" s="18"/>
      <c r="D10" s="8"/>
      <c r="F10" s="18" t="s">
        <v>15</v>
      </c>
      <c r="G10" s="8">
        <v>10.5</v>
      </c>
      <c r="I10" s="18" t="s">
        <v>20</v>
      </c>
      <c r="J10" s="8">
        <v>35</v>
      </c>
      <c r="L10" s="17"/>
      <c r="M10" s="8"/>
    </row>
    <row r="11" spans="1:13" x14ac:dyDescent="0.15">
      <c r="A11" s="5"/>
      <c r="B11" s="5"/>
      <c r="C11" s="18"/>
      <c r="D11" s="8"/>
      <c r="F11" s="18" t="s">
        <v>19</v>
      </c>
      <c r="G11" s="8">
        <v>-100</v>
      </c>
      <c r="I11" s="18"/>
      <c r="J11" s="8"/>
      <c r="L11" s="17"/>
      <c r="M11" s="8"/>
    </row>
    <row r="12" spans="1:13" x14ac:dyDescent="0.15">
      <c r="A12" s="5">
        <v>43228</v>
      </c>
      <c r="B12" s="5" t="s">
        <v>4</v>
      </c>
      <c r="C12" s="18"/>
      <c r="D12" s="8"/>
      <c r="F12" s="18" t="s">
        <v>79</v>
      </c>
      <c r="G12" s="8">
        <v>-19</v>
      </c>
      <c r="I12" s="18"/>
      <c r="J12" s="8"/>
      <c r="L12" s="18"/>
      <c r="M12" s="8"/>
    </row>
    <row r="13" spans="1:13" x14ac:dyDescent="0.15">
      <c r="A13" s="5"/>
      <c r="B13" s="5"/>
      <c r="C13" s="18"/>
      <c r="D13" s="8"/>
      <c r="F13" s="18" t="s">
        <v>76</v>
      </c>
      <c r="G13" s="8">
        <v>96</v>
      </c>
      <c r="I13" s="18"/>
      <c r="J13" s="8"/>
      <c r="L13" s="18"/>
      <c r="M13" s="8"/>
    </row>
    <row r="14" spans="1:13" x14ac:dyDescent="0.15">
      <c r="A14" s="5">
        <v>43229</v>
      </c>
      <c r="B14" s="5" t="s">
        <v>6</v>
      </c>
      <c r="C14" s="18"/>
      <c r="D14" s="8"/>
      <c r="F14" s="17"/>
      <c r="G14" s="8"/>
      <c r="I14" s="18"/>
      <c r="J14" s="8"/>
      <c r="L14" s="17"/>
      <c r="M14" s="8"/>
    </row>
    <row r="15" spans="1:13" x14ac:dyDescent="0.15">
      <c r="A15" s="5">
        <v>43230</v>
      </c>
      <c r="B15" s="5" t="s">
        <v>7</v>
      </c>
      <c r="C15" s="18"/>
      <c r="D15" s="8"/>
      <c r="F15" s="18"/>
      <c r="G15" s="8"/>
      <c r="I15" s="18"/>
      <c r="J15" s="8"/>
      <c r="L15" s="17"/>
      <c r="M15" s="8"/>
    </row>
    <row r="16" spans="1:13" x14ac:dyDescent="0.15">
      <c r="A16" s="5">
        <v>43231</v>
      </c>
      <c r="B16" s="5" t="s">
        <v>8</v>
      </c>
      <c r="C16" s="18"/>
      <c r="D16" s="8"/>
      <c r="F16" s="17"/>
      <c r="G16" s="8"/>
      <c r="I16" s="18"/>
      <c r="J16" s="8"/>
      <c r="L16" s="18"/>
      <c r="M16" s="8"/>
    </row>
    <row r="17" spans="1:13" x14ac:dyDescent="0.15">
      <c r="A17" s="5">
        <v>43232</v>
      </c>
      <c r="B17" s="5" t="s">
        <v>9</v>
      </c>
      <c r="C17" s="18"/>
      <c r="D17" s="8"/>
      <c r="F17" s="17"/>
      <c r="G17" s="8"/>
      <c r="I17" s="17"/>
      <c r="J17" s="8"/>
      <c r="L17" s="18"/>
      <c r="M17" s="8"/>
    </row>
    <row r="18" spans="1:13" x14ac:dyDescent="0.15">
      <c r="A18" s="5">
        <v>43233</v>
      </c>
      <c r="B18" s="5" t="s">
        <v>10</v>
      </c>
      <c r="C18" s="18"/>
      <c r="D18" s="8"/>
      <c r="F18" s="17"/>
      <c r="G18" s="8"/>
      <c r="I18" s="18"/>
      <c r="J18" s="8"/>
      <c r="L18" s="18"/>
      <c r="M18" s="8"/>
    </row>
    <row r="19" spans="1:13" x14ac:dyDescent="0.15">
      <c r="A19" s="5">
        <v>43234</v>
      </c>
      <c r="B19" s="5" t="s">
        <v>5</v>
      </c>
      <c r="C19" s="18"/>
      <c r="D19" s="8"/>
      <c r="F19" s="18"/>
      <c r="G19" s="8"/>
      <c r="I19" s="18"/>
      <c r="J19" s="8"/>
      <c r="L19" s="17"/>
      <c r="M19" s="8"/>
    </row>
    <row r="20" spans="1:13" x14ac:dyDescent="0.15">
      <c r="A20" s="5">
        <v>43235</v>
      </c>
      <c r="B20" s="5" t="s">
        <v>4</v>
      </c>
      <c r="C20" s="18"/>
      <c r="D20" s="8"/>
      <c r="F20" s="18" t="s">
        <v>81</v>
      </c>
      <c r="G20" s="8">
        <v>20</v>
      </c>
      <c r="I20" s="18" t="s">
        <v>82</v>
      </c>
      <c r="J20" s="8">
        <v>13</v>
      </c>
      <c r="L20" s="18"/>
      <c r="M20" s="8"/>
    </row>
    <row r="21" spans="1:13" x14ac:dyDescent="0.15">
      <c r="A21" s="5">
        <v>43236</v>
      </c>
      <c r="B21" s="5" t="s">
        <v>6</v>
      </c>
      <c r="C21" s="18"/>
      <c r="D21" s="8"/>
      <c r="F21" s="17"/>
      <c r="G21" s="8"/>
      <c r="I21" s="18" t="s">
        <v>79</v>
      </c>
      <c r="J21" s="8">
        <v>38</v>
      </c>
      <c r="L21" s="18"/>
      <c r="M21" s="8"/>
    </row>
    <row r="22" spans="1:13" x14ac:dyDescent="0.15">
      <c r="A22" s="5"/>
      <c r="B22" s="5"/>
      <c r="C22" s="18"/>
      <c r="D22" s="8"/>
      <c r="F22" s="17"/>
      <c r="G22" s="8"/>
      <c r="I22" s="18" t="s">
        <v>85</v>
      </c>
      <c r="J22" s="8">
        <v>-100</v>
      </c>
      <c r="L22" s="18"/>
      <c r="M22" s="8"/>
    </row>
    <row r="23" spans="1:13" x14ac:dyDescent="0.15">
      <c r="A23" s="5">
        <v>43237</v>
      </c>
      <c r="B23" s="5" t="s">
        <v>7</v>
      </c>
      <c r="C23" s="18"/>
      <c r="D23" s="8"/>
      <c r="F23" s="17"/>
      <c r="G23" s="8"/>
      <c r="I23" s="18"/>
      <c r="J23" s="8"/>
      <c r="L23" s="18"/>
      <c r="M23" s="8"/>
    </row>
    <row r="24" spans="1:13" x14ac:dyDescent="0.15">
      <c r="A24" s="5">
        <v>43238</v>
      </c>
      <c r="B24" s="5" t="s">
        <v>8</v>
      </c>
      <c r="C24" s="18"/>
      <c r="D24" s="8"/>
      <c r="F24" s="17"/>
      <c r="G24" s="8"/>
      <c r="I24" s="18"/>
      <c r="J24" s="8"/>
      <c r="L24" s="18"/>
      <c r="M24" s="8"/>
    </row>
    <row r="25" spans="1:13" x14ac:dyDescent="0.15">
      <c r="A25" s="5">
        <v>43239</v>
      </c>
      <c r="B25" s="5" t="s">
        <v>9</v>
      </c>
      <c r="C25" s="18"/>
      <c r="D25" s="8"/>
      <c r="F25" s="17"/>
      <c r="G25" s="8"/>
      <c r="I25" s="18"/>
      <c r="J25" s="8"/>
      <c r="L25" s="18"/>
      <c r="M25" s="8"/>
    </row>
    <row r="26" spans="1:13" x14ac:dyDescent="0.15">
      <c r="A26" s="5">
        <v>43240</v>
      </c>
      <c r="B26" s="5" t="s">
        <v>10</v>
      </c>
      <c r="C26" s="18"/>
      <c r="D26" s="8"/>
      <c r="F26" s="17"/>
      <c r="G26" s="8"/>
      <c r="I26" s="18"/>
      <c r="J26" s="8"/>
      <c r="L26" s="18"/>
      <c r="M26" s="8"/>
    </row>
    <row r="27" spans="1:13" x14ac:dyDescent="0.15">
      <c r="A27" s="5">
        <v>43241</v>
      </c>
      <c r="B27" s="5" t="s">
        <v>5</v>
      </c>
      <c r="C27" s="18"/>
      <c r="D27" s="8"/>
      <c r="F27" s="18" t="s">
        <v>84</v>
      </c>
      <c r="G27" s="8">
        <v>19.899999999999999</v>
      </c>
      <c r="I27" s="18"/>
      <c r="J27" s="8"/>
      <c r="L27" s="17"/>
      <c r="M27" s="8"/>
    </row>
    <row r="28" spans="1:13" x14ac:dyDescent="0.15">
      <c r="A28" s="5">
        <v>43242</v>
      </c>
      <c r="B28" s="5" t="s">
        <v>4</v>
      </c>
      <c r="C28" s="18"/>
      <c r="D28" s="8"/>
      <c r="F28" s="18"/>
      <c r="G28" s="8"/>
      <c r="I28" s="18" t="s">
        <v>20</v>
      </c>
      <c r="J28" s="8">
        <v>39</v>
      </c>
      <c r="L28" s="18"/>
      <c r="M28" s="8"/>
    </row>
    <row r="29" spans="1:13" x14ac:dyDescent="0.15">
      <c r="A29" s="5">
        <v>43243</v>
      </c>
      <c r="B29" s="5" t="s">
        <v>6</v>
      </c>
      <c r="C29" s="18"/>
      <c r="D29" s="8"/>
      <c r="F29" s="18" t="s">
        <v>15</v>
      </c>
      <c r="G29" s="8">
        <v>11</v>
      </c>
      <c r="I29" s="18"/>
      <c r="J29" s="8"/>
      <c r="L29" s="18"/>
      <c r="M29" s="8"/>
    </row>
    <row r="30" spans="1:13" x14ac:dyDescent="0.15">
      <c r="A30" s="5"/>
      <c r="B30" s="5"/>
      <c r="C30" s="18"/>
      <c r="D30" s="8"/>
      <c r="F30" s="18" t="s">
        <v>78</v>
      </c>
      <c r="G30" s="8">
        <v>20</v>
      </c>
      <c r="I30" s="18"/>
      <c r="J30" s="8"/>
      <c r="L30" s="18"/>
      <c r="M30" s="8"/>
    </row>
    <row r="31" spans="1:13" x14ac:dyDescent="0.15">
      <c r="A31" s="5"/>
      <c r="B31" s="5"/>
      <c r="C31" s="18"/>
      <c r="D31" s="8"/>
      <c r="F31" s="18" t="s">
        <v>78</v>
      </c>
      <c r="G31" s="8">
        <v>111</v>
      </c>
      <c r="I31" s="18"/>
      <c r="J31" s="8"/>
      <c r="L31" s="18"/>
      <c r="M31" s="8"/>
    </row>
    <row r="32" spans="1:13" x14ac:dyDescent="0.15">
      <c r="A32" s="5">
        <v>43244</v>
      </c>
      <c r="B32" s="5" t="s">
        <v>7</v>
      </c>
      <c r="C32" s="18"/>
      <c r="D32" s="8"/>
      <c r="F32" s="18" t="s">
        <v>86</v>
      </c>
      <c r="G32" s="8">
        <v>28</v>
      </c>
      <c r="I32" s="18"/>
      <c r="J32" s="8"/>
      <c r="L32" s="18"/>
      <c r="M32" s="8"/>
    </row>
    <row r="33" spans="1:13" x14ac:dyDescent="0.15">
      <c r="A33" s="5">
        <v>43245</v>
      </c>
      <c r="B33" s="5" t="s">
        <v>8</v>
      </c>
      <c r="C33" s="18"/>
      <c r="D33" s="8"/>
      <c r="F33" s="17"/>
      <c r="G33" s="8"/>
      <c r="I33" s="18"/>
      <c r="J33" s="8"/>
      <c r="L33" s="18"/>
      <c r="M33" s="8"/>
    </row>
    <row r="34" spans="1:13" x14ac:dyDescent="0.15">
      <c r="A34" s="5">
        <v>43246</v>
      </c>
      <c r="B34" s="5" t="s">
        <v>9</v>
      </c>
      <c r="C34" s="18"/>
      <c r="D34" s="8"/>
      <c r="F34" s="18"/>
      <c r="G34" s="8"/>
      <c r="I34" s="18"/>
      <c r="J34" s="8"/>
      <c r="L34" s="18"/>
      <c r="M34" s="8"/>
    </row>
    <row r="35" spans="1:13" x14ac:dyDescent="0.15">
      <c r="A35" s="5">
        <v>43247</v>
      </c>
      <c r="B35" s="5" t="s">
        <v>10</v>
      </c>
      <c r="C35" s="18"/>
      <c r="D35" s="8"/>
      <c r="F35" s="18"/>
      <c r="G35" s="8"/>
      <c r="I35" s="18"/>
      <c r="J35" s="8"/>
      <c r="L35" s="18"/>
      <c r="M35" s="8"/>
    </row>
    <row r="36" spans="1:13" x14ac:dyDescent="0.15">
      <c r="A36" s="5">
        <v>43248</v>
      </c>
      <c r="B36" s="5" t="s">
        <v>5</v>
      </c>
      <c r="C36" s="18"/>
      <c r="D36" s="8"/>
      <c r="F36" s="18"/>
      <c r="G36" s="8"/>
      <c r="I36" s="18"/>
      <c r="J36" s="8"/>
      <c r="L36" s="17"/>
      <c r="M36" s="8"/>
    </row>
    <row r="37" spans="1:13" x14ac:dyDescent="0.15">
      <c r="A37" s="5">
        <v>43249</v>
      </c>
      <c r="B37" s="5" t="s">
        <v>4</v>
      </c>
      <c r="C37" s="18"/>
      <c r="D37" s="8"/>
      <c r="F37" s="18"/>
      <c r="G37" s="8"/>
      <c r="I37" s="18"/>
      <c r="J37" s="8"/>
      <c r="L37" s="18"/>
      <c r="M37" s="8"/>
    </row>
    <row r="38" spans="1:13" x14ac:dyDescent="0.15">
      <c r="A38" s="5">
        <v>43250</v>
      </c>
      <c r="B38" s="5" t="s">
        <v>6</v>
      </c>
      <c r="F38" s="18" t="s">
        <v>87</v>
      </c>
      <c r="G38" s="8">
        <v>11</v>
      </c>
      <c r="I38" s="18"/>
      <c r="J38" s="8"/>
      <c r="L38" s="18"/>
      <c r="M38" s="8"/>
    </row>
    <row r="39" spans="1:13" ht="14.25" thickBot="1" x14ac:dyDescent="0.2">
      <c r="A39" s="5">
        <v>43251</v>
      </c>
      <c r="B39" s="5" t="s">
        <v>7</v>
      </c>
      <c r="F39" s="19" t="s">
        <v>88</v>
      </c>
      <c r="G39" s="10">
        <v>-400</v>
      </c>
      <c r="I39" s="21"/>
      <c r="J39" s="10"/>
      <c r="L39" s="21"/>
      <c r="M39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36"/>
  <sheetViews>
    <sheetView topLeftCell="A9"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SUM(G3:G36)</f>
        <v>-9</v>
      </c>
      <c r="G2" s="43"/>
      <c r="H2" s="14"/>
      <c r="I2" s="42">
        <f>SUM(J3:J36)</f>
        <v>-76</v>
      </c>
      <c r="J2" s="43"/>
      <c r="K2" s="14"/>
      <c r="L2" s="42">
        <f>SUM(M3:M36)</f>
        <v>-546</v>
      </c>
      <c r="M2" s="43"/>
    </row>
    <row r="3" spans="1:13" x14ac:dyDescent="0.15">
      <c r="A3" s="5">
        <v>43191</v>
      </c>
      <c r="B3" s="5" t="s">
        <v>10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43192</v>
      </c>
      <c r="B4" s="5" t="s">
        <v>5</v>
      </c>
      <c r="C4" s="18"/>
      <c r="D4" s="8"/>
      <c r="F4" s="18" t="s">
        <v>70</v>
      </c>
      <c r="G4" s="8">
        <v>-9</v>
      </c>
      <c r="I4" s="18"/>
      <c r="J4" s="8"/>
      <c r="L4" s="17"/>
      <c r="M4" s="8"/>
    </row>
    <row r="5" spans="1:13" x14ac:dyDescent="0.15">
      <c r="A5" s="5">
        <v>43193</v>
      </c>
      <c r="B5" s="5" t="s">
        <v>4</v>
      </c>
      <c r="C5" s="18"/>
      <c r="D5" s="8"/>
      <c r="F5" s="18"/>
      <c r="G5" s="8"/>
      <c r="I5" s="18"/>
      <c r="J5" s="8"/>
      <c r="L5" s="17" t="s">
        <v>71</v>
      </c>
      <c r="M5" s="8">
        <v>-25</v>
      </c>
    </row>
    <row r="6" spans="1:13" x14ac:dyDescent="0.15">
      <c r="A6" s="5">
        <v>43194</v>
      </c>
      <c r="B6" s="5" t="s">
        <v>6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43195</v>
      </c>
      <c r="B7" s="5" t="s">
        <v>7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43196</v>
      </c>
      <c r="B8" s="5" t="s">
        <v>8</v>
      </c>
      <c r="C8" s="18"/>
      <c r="D8" s="8"/>
      <c r="F8" s="18"/>
      <c r="G8" s="8"/>
      <c r="I8" s="18"/>
      <c r="J8" s="8"/>
      <c r="L8" s="18"/>
      <c r="M8" s="8"/>
    </row>
    <row r="9" spans="1:13" x14ac:dyDescent="0.15">
      <c r="A9" s="5">
        <v>43197</v>
      </c>
      <c r="B9" s="5" t="s">
        <v>9</v>
      </c>
      <c r="C9" s="18"/>
      <c r="D9" s="8"/>
      <c r="F9" s="17"/>
      <c r="G9" s="8"/>
      <c r="I9" s="18"/>
      <c r="J9" s="8"/>
      <c r="L9" s="17"/>
      <c r="M9" s="8"/>
    </row>
    <row r="10" spans="1:13" x14ac:dyDescent="0.15">
      <c r="A10" s="5">
        <v>43198</v>
      </c>
      <c r="B10" s="5" t="s">
        <v>10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43199</v>
      </c>
      <c r="B11" s="5" t="s">
        <v>5</v>
      </c>
      <c r="C11" s="18"/>
      <c r="D11" s="8"/>
      <c r="F11" s="17" t="s">
        <v>72</v>
      </c>
      <c r="G11" s="8">
        <v>10.5</v>
      </c>
      <c r="I11" s="18"/>
      <c r="J11" s="8"/>
      <c r="L11" s="17" t="s">
        <v>72</v>
      </c>
      <c r="M11" s="8">
        <v>-21</v>
      </c>
    </row>
    <row r="12" spans="1:13" x14ac:dyDescent="0.15">
      <c r="A12" s="5">
        <v>43200</v>
      </c>
      <c r="B12" s="5" t="s">
        <v>4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43201</v>
      </c>
      <c r="B13" s="5" t="s">
        <v>6</v>
      </c>
      <c r="C13" s="18"/>
      <c r="D13" s="8"/>
      <c r="F13" s="17" t="s">
        <v>72</v>
      </c>
      <c r="G13" s="8">
        <v>11</v>
      </c>
      <c r="I13" s="18"/>
      <c r="J13" s="8"/>
      <c r="L13" s="18"/>
      <c r="M13" s="8"/>
    </row>
    <row r="14" spans="1:13" x14ac:dyDescent="0.15">
      <c r="A14" s="5"/>
      <c r="B14" s="5"/>
      <c r="C14" s="18"/>
      <c r="D14" s="8"/>
      <c r="F14" s="17" t="s">
        <v>20</v>
      </c>
      <c r="G14" s="8">
        <v>-27</v>
      </c>
      <c r="I14" s="18"/>
      <c r="J14" s="8"/>
      <c r="L14" s="18"/>
      <c r="M14" s="8"/>
    </row>
    <row r="15" spans="1:13" x14ac:dyDescent="0.15">
      <c r="A15" s="5">
        <v>43202</v>
      </c>
      <c r="B15" s="5" t="s">
        <v>7</v>
      </c>
      <c r="C15" s="18"/>
      <c r="D15" s="8"/>
      <c r="F15" s="17" t="s">
        <v>72</v>
      </c>
      <c r="G15" s="8">
        <v>11</v>
      </c>
      <c r="I15" s="17" t="s">
        <v>20</v>
      </c>
      <c r="J15" s="8">
        <v>24</v>
      </c>
      <c r="L15" s="18"/>
      <c r="M15" s="8"/>
    </row>
    <row r="16" spans="1:13" x14ac:dyDescent="0.15">
      <c r="A16" s="5">
        <v>43203</v>
      </c>
      <c r="B16" s="5" t="s">
        <v>8</v>
      </c>
      <c r="C16" s="18"/>
      <c r="D16" s="8"/>
      <c r="F16" s="17" t="s">
        <v>72</v>
      </c>
      <c r="G16" s="8">
        <v>-11</v>
      </c>
      <c r="I16" s="18"/>
      <c r="J16" s="8"/>
      <c r="L16" s="18"/>
      <c r="M16" s="8"/>
    </row>
    <row r="17" spans="1:13" x14ac:dyDescent="0.15">
      <c r="A17" s="5"/>
      <c r="B17" s="5"/>
      <c r="C17" s="18"/>
      <c r="D17" s="8"/>
      <c r="F17" s="17" t="s">
        <v>20</v>
      </c>
      <c r="G17" s="8">
        <v>15</v>
      </c>
      <c r="I17" s="18"/>
      <c r="J17" s="8"/>
      <c r="L17" s="18"/>
      <c r="M17" s="8"/>
    </row>
    <row r="18" spans="1:13" x14ac:dyDescent="0.15">
      <c r="A18" s="5">
        <v>43204</v>
      </c>
      <c r="B18" s="5" t="s">
        <v>9</v>
      </c>
      <c r="C18" s="18"/>
      <c r="D18" s="8"/>
      <c r="F18" s="18"/>
      <c r="G18" s="8"/>
      <c r="I18" s="18"/>
      <c r="J18" s="8"/>
      <c r="L18" s="17"/>
      <c r="M18" s="8"/>
    </row>
    <row r="19" spans="1:13" x14ac:dyDescent="0.15">
      <c r="A19" s="5">
        <v>43205</v>
      </c>
      <c r="B19" s="5" t="s">
        <v>10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43206</v>
      </c>
      <c r="B20" s="5" t="s">
        <v>5</v>
      </c>
      <c r="C20" s="18"/>
      <c r="D20" s="8"/>
      <c r="F20" s="17" t="s">
        <v>15</v>
      </c>
      <c r="G20" s="8">
        <v>10.5</v>
      </c>
      <c r="I20" s="18"/>
      <c r="J20" s="8"/>
      <c r="L20" s="18"/>
      <c r="M20" s="8"/>
    </row>
    <row r="21" spans="1:13" x14ac:dyDescent="0.15">
      <c r="A21" s="5"/>
      <c r="B21" s="5"/>
      <c r="C21" s="18"/>
      <c r="D21" s="8"/>
      <c r="F21" s="17" t="s">
        <v>20</v>
      </c>
      <c r="G21" s="8">
        <v>27</v>
      </c>
      <c r="I21" s="18"/>
      <c r="J21" s="8"/>
      <c r="L21" s="18"/>
      <c r="M21" s="8"/>
    </row>
    <row r="22" spans="1:13" x14ac:dyDescent="0.15">
      <c r="A22" s="5">
        <v>43207</v>
      </c>
      <c r="B22" s="5" t="s">
        <v>4</v>
      </c>
      <c r="C22" s="18"/>
      <c r="D22" s="8"/>
      <c r="F22" s="17" t="s">
        <v>15</v>
      </c>
      <c r="G22" s="8">
        <v>11</v>
      </c>
      <c r="I22" s="18"/>
      <c r="J22" s="8"/>
      <c r="L22" s="18"/>
      <c r="M22" s="8"/>
    </row>
    <row r="23" spans="1:13" x14ac:dyDescent="0.15">
      <c r="A23" s="5">
        <v>43208</v>
      </c>
      <c r="B23" s="5" t="s">
        <v>6</v>
      </c>
      <c r="C23" s="18"/>
      <c r="D23" s="8"/>
      <c r="F23" s="17" t="s">
        <v>15</v>
      </c>
      <c r="G23" s="8">
        <v>11</v>
      </c>
      <c r="I23" s="18"/>
      <c r="J23" s="8"/>
      <c r="L23" s="18" t="s">
        <v>74</v>
      </c>
      <c r="M23" s="8">
        <v>-500</v>
      </c>
    </row>
    <row r="24" spans="1:13" x14ac:dyDescent="0.15">
      <c r="A24" s="5"/>
      <c r="B24" s="5"/>
      <c r="C24" s="18"/>
      <c r="D24" s="8"/>
      <c r="F24" s="17" t="s">
        <v>51</v>
      </c>
      <c r="G24" s="8">
        <v>-23</v>
      </c>
      <c r="I24" s="18"/>
      <c r="J24" s="8"/>
      <c r="L24" s="18"/>
      <c r="M24" s="8"/>
    </row>
    <row r="25" spans="1:13" x14ac:dyDescent="0.15">
      <c r="A25" s="5">
        <v>43209</v>
      </c>
      <c r="B25" s="5" t="s">
        <v>7</v>
      </c>
      <c r="C25" s="18"/>
      <c r="D25" s="8"/>
      <c r="F25" s="17" t="s">
        <v>15</v>
      </c>
      <c r="G25" s="8">
        <v>11</v>
      </c>
      <c r="I25" s="18"/>
      <c r="J25" s="8"/>
      <c r="L25" s="18"/>
      <c r="M25" s="8"/>
    </row>
    <row r="26" spans="1:13" x14ac:dyDescent="0.15">
      <c r="A26" s="5">
        <v>43210</v>
      </c>
      <c r="B26" s="5" t="s">
        <v>8</v>
      </c>
      <c r="C26" s="18"/>
      <c r="D26" s="8"/>
      <c r="F26" s="17" t="s">
        <v>15</v>
      </c>
      <c r="G26" s="8">
        <v>11</v>
      </c>
      <c r="I26" s="18"/>
      <c r="J26" s="8"/>
      <c r="L26" s="18"/>
      <c r="M26" s="8"/>
    </row>
    <row r="27" spans="1:13" x14ac:dyDescent="0.15">
      <c r="A27" s="5">
        <v>43211</v>
      </c>
      <c r="B27" s="5" t="s">
        <v>9</v>
      </c>
      <c r="C27" s="18"/>
      <c r="D27" s="8"/>
      <c r="F27" s="18"/>
      <c r="G27" s="8"/>
      <c r="I27" s="18"/>
      <c r="J27" s="8"/>
      <c r="L27" s="17"/>
      <c r="M27" s="8"/>
    </row>
    <row r="28" spans="1:13" x14ac:dyDescent="0.15">
      <c r="A28" s="5">
        <v>43212</v>
      </c>
      <c r="B28" s="5" t="s">
        <v>10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43213</v>
      </c>
      <c r="B29" s="5" t="s">
        <v>5</v>
      </c>
      <c r="C29" s="18"/>
      <c r="D29" s="8"/>
      <c r="F29" s="17" t="s">
        <v>15</v>
      </c>
      <c r="G29" s="8">
        <v>10.5</v>
      </c>
      <c r="I29" s="18"/>
      <c r="J29" s="8"/>
      <c r="L29" s="18"/>
      <c r="M29" s="8"/>
    </row>
    <row r="30" spans="1:13" x14ac:dyDescent="0.15">
      <c r="A30" s="5">
        <v>43214</v>
      </c>
      <c r="B30" s="5" t="s">
        <v>4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43215</v>
      </c>
      <c r="B31" s="5" t="s">
        <v>6</v>
      </c>
      <c r="C31" s="18"/>
      <c r="D31" s="8"/>
      <c r="F31" s="17" t="s">
        <v>15</v>
      </c>
      <c r="G31" s="8">
        <v>11</v>
      </c>
      <c r="I31" s="18"/>
      <c r="J31" s="8"/>
      <c r="L31" s="18"/>
      <c r="M31" s="8"/>
    </row>
    <row r="32" spans="1:13" x14ac:dyDescent="0.15">
      <c r="A32" s="5">
        <v>43216</v>
      </c>
      <c r="B32" s="5" t="s">
        <v>7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43217</v>
      </c>
      <c r="B33" s="5" t="s">
        <v>8</v>
      </c>
      <c r="C33" s="18"/>
      <c r="D33" s="8"/>
      <c r="F33" s="18" t="s">
        <v>75</v>
      </c>
      <c r="G33" s="8">
        <v>-100</v>
      </c>
      <c r="I33" s="18" t="s">
        <v>75</v>
      </c>
      <c r="J33" s="8">
        <v>-100</v>
      </c>
      <c r="L33" s="18"/>
      <c r="M33" s="8"/>
    </row>
    <row r="34" spans="1:13" x14ac:dyDescent="0.15">
      <c r="A34" s="5">
        <v>43218</v>
      </c>
      <c r="B34" s="5" t="s">
        <v>9</v>
      </c>
      <c r="C34" s="18"/>
      <c r="D34" s="8"/>
      <c r="F34" s="18"/>
      <c r="G34" s="8"/>
      <c r="I34" s="18"/>
      <c r="J34" s="8"/>
      <c r="L34" s="17"/>
      <c r="M34" s="8"/>
    </row>
    <row r="35" spans="1:13" x14ac:dyDescent="0.15">
      <c r="A35" s="5">
        <v>43219</v>
      </c>
      <c r="B35" s="5" t="s">
        <v>10</v>
      </c>
      <c r="C35" s="18"/>
      <c r="D35" s="8"/>
      <c r="F35" s="18"/>
      <c r="G35" s="8"/>
      <c r="I35" s="18"/>
      <c r="J35" s="8"/>
      <c r="L35" s="18"/>
      <c r="M35" s="8"/>
    </row>
    <row r="36" spans="1:13" ht="14.25" thickBot="1" x14ac:dyDescent="0.2">
      <c r="A36" s="5">
        <v>43220</v>
      </c>
      <c r="B36" s="5" t="s">
        <v>5</v>
      </c>
      <c r="F36" s="19" t="s">
        <v>15</v>
      </c>
      <c r="G36" s="10">
        <v>10.5</v>
      </c>
      <c r="I36" s="21"/>
      <c r="J36" s="10"/>
      <c r="L36" s="21"/>
      <c r="M36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3"/>
  <sheetViews>
    <sheetView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SUM(D3:D31)</f>
        <v>0</v>
      </c>
      <c r="D2" s="43"/>
      <c r="E2" s="3"/>
      <c r="F2" s="42">
        <f>SUM(G3:G33)</f>
        <v>34</v>
      </c>
      <c r="G2" s="43"/>
      <c r="H2" s="14"/>
      <c r="I2" s="42">
        <f>SUM(J3:J33)</f>
        <v>57</v>
      </c>
      <c r="J2" s="43"/>
      <c r="K2" s="14"/>
      <c r="L2" s="42">
        <f>SUM(M3:M33)</f>
        <v>-6</v>
      </c>
      <c r="M2" s="43"/>
    </row>
    <row r="3" spans="1:13" x14ac:dyDescent="0.15">
      <c r="A3" s="5">
        <v>43160</v>
      </c>
      <c r="B3" s="5" t="s">
        <v>7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43161</v>
      </c>
      <c r="B4" s="5" t="s">
        <v>8</v>
      </c>
      <c r="C4" s="18"/>
      <c r="D4" s="8"/>
      <c r="F4" s="18" t="s">
        <v>27</v>
      </c>
      <c r="G4" s="8">
        <v>-18</v>
      </c>
      <c r="I4" s="18"/>
      <c r="J4" s="8"/>
      <c r="L4" s="17"/>
      <c r="M4" s="8"/>
    </row>
    <row r="5" spans="1:13" x14ac:dyDescent="0.15">
      <c r="A5" s="5">
        <v>43162</v>
      </c>
      <c r="B5" s="5" t="s">
        <v>9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43163</v>
      </c>
      <c r="B6" s="5" t="s">
        <v>10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43164</v>
      </c>
      <c r="B7" s="5" t="s">
        <v>5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43165</v>
      </c>
      <c r="B8" s="5" t="s">
        <v>4</v>
      </c>
      <c r="C8" s="18"/>
      <c r="D8" s="8"/>
      <c r="F8" s="18"/>
      <c r="G8" s="8"/>
      <c r="I8" s="18"/>
      <c r="J8" s="8"/>
      <c r="L8" s="18"/>
      <c r="M8" s="8"/>
    </row>
    <row r="9" spans="1:13" x14ac:dyDescent="0.15">
      <c r="A9" s="5">
        <v>43166</v>
      </c>
      <c r="B9" s="5" t="s">
        <v>6</v>
      </c>
      <c r="C9" s="18"/>
      <c r="D9" s="8"/>
      <c r="F9" s="17"/>
      <c r="G9" s="8"/>
      <c r="I9" s="18"/>
      <c r="J9" s="8"/>
      <c r="L9" s="17"/>
      <c r="M9" s="8"/>
    </row>
    <row r="10" spans="1:13" x14ac:dyDescent="0.15">
      <c r="A10" s="5">
        <v>43167</v>
      </c>
      <c r="B10" s="5" t="s">
        <v>7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43168</v>
      </c>
      <c r="B11" s="5" t="s">
        <v>8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43169</v>
      </c>
      <c r="B12" s="5" t="s">
        <v>9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43170</v>
      </c>
      <c r="B13" s="5" t="s">
        <v>10</v>
      </c>
      <c r="C13" s="18"/>
      <c r="D13" s="8"/>
      <c r="F13" s="18"/>
      <c r="G13" s="8"/>
      <c r="I13" s="18"/>
      <c r="J13" s="8"/>
      <c r="L13" s="18"/>
      <c r="M13" s="8"/>
    </row>
    <row r="14" spans="1:13" x14ac:dyDescent="0.15">
      <c r="A14" s="5">
        <v>43171</v>
      </c>
      <c r="B14" s="5" t="s">
        <v>5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43172</v>
      </c>
      <c r="B15" s="5" t="s">
        <v>4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43173</v>
      </c>
      <c r="B16" s="5" t="s">
        <v>6</v>
      </c>
      <c r="C16" s="18"/>
      <c r="D16" s="8"/>
      <c r="F16" s="18"/>
      <c r="G16" s="8"/>
      <c r="I16" s="18"/>
      <c r="J16" s="8"/>
      <c r="L16" s="17"/>
      <c r="M16" s="8"/>
    </row>
    <row r="17" spans="1:13" x14ac:dyDescent="0.15">
      <c r="A17" s="5">
        <v>43174</v>
      </c>
      <c r="B17" s="5" t="s">
        <v>7</v>
      </c>
      <c r="C17" s="18"/>
      <c r="D17" s="8"/>
      <c r="F17" s="18"/>
      <c r="G17" s="8"/>
      <c r="I17" s="18"/>
      <c r="J17" s="8"/>
      <c r="L17" s="18"/>
      <c r="M17" s="8"/>
    </row>
    <row r="18" spans="1:13" x14ac:dyDescent="0.15">
      <c r="A18" s="5">
        <v>43175</v>
      </c>
      <c r="B18" s="5" t="s">
        <v>8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43176</v>
      </c>
      <c r="B19" s="5" t="s">
        <v>9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43177</v>
      </c>
      <c r="B20" s="5" t="s">
        <v>10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43178</v>
      </c>
      <c r="B21" s="5" t="s">
        <v>5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43179</v>
      </c>
      <c r="B22" s="5" t="s">
        <v>4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43180</v>
      </c>
      <c r="B23" s="5" t="s">
        <v>6</v>
      </c>
      <c r="C23" s="18"/>
      <c r="D23" s="8"/>
      <c r="F23" s="18"/>
      <c r="G23" s="8"/>
      <c r="I23" s="18"/>
      <c r="J23" s="8"/>
      <c r="L23" s="17"/>
      <c r="M23" s="8"/>
    </row>
    <row r="24" spans="1:13" x14ac:dyDescent="0.15">
      <c r="A24" s="5">
        <v>43181</v>
      </c>
      <c r="B24" s="5" t="s">
        <v>7</v>
      </c>
      <c r="C24" s="18"/>
      <c r="D24" s="8"/>
      <c r="F24" s="18"/>
      <c r="G24" s="8"/>
      <c r="I24" s="18"/>
      <c r="J24" s="8"/>
      <c r="L24" s="18"/>
      <c r="M24" s="8"/>
    </row>
    <row r="25" spans="1:13" x14ac:dyDescent="0.15">
      <c r="A25" s="5">
        <v>43182</v>
      </c>
      <c r="B25" s="5" t="s">
        <v>8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43183</v>
      </c>
      <c r="B26" s="5" t="s">
        <v>9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43184</v>
      </c>
      <c r="B27" s="5" t="s">
        <v>10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43185</v>
      </c>
      <c r="B28" s="5" t="s">
        <v>5</v>
      </c>
      <c r="C28" s="18"/>
      <c r="D28" s="8"/>
      <c r="F28" s="18"/>
      <c r="G28" s="8"/>
      <c r="I28" s="18"/>
      <c r="J28" s="8"/>
      <c r="L28" s="18" t="s">
        <v>64</v>
      </c>
      <c r="M28" s="8">
        <v>-6</v>
      </c>
    </row>
    <row r="29" spans="1:13" x14ac:dyDescent="0.15">
      <c r="A29" s="5">
        <v>43186</v>
      </c>
      <c r="B29" s="5" t="s">
        <v>4</v>
      </c>
      <c r="C29" s="18"/>
      <c r="D29" s="8"/>
      <c r="F29" s="18" t="s">
        <v>65</v>
      </c>
      <c r="G29" s="8">
        <v>11</v>
      </c>
      <c r="I29" s="18"/>
      <c r="J29" s="8"/>
      <c r="L29" s="18"/>
      <c r="M29" s="8"/>
    </row>
    <row r="30" spans="1:13" x14ac:dyDescent="0.15">
      <c r="A30" s="5">
        <v>43187</v>
      </c>
      <c r="B30" s="5" t="s">
        <v>6</v>
      </c>
      <c r="C30" s="18"/>
      <c r="D30" s="8"/>
      <c r="F30" s="18"/>
      <c r="G30" s="8"/>
      <c r="I30" s="18"/>
      <c r="J30" s="8"/>
      <c r="L30" s="17"/>
      <c r="M30" s="8"/>
    </row>
    <row r="31" spans="1:13" x14ac:dyDescent="0.15">
      <c r="A31" s="5">
        <v>43188</v>
      </c>
      <c r="B31" s="5" t="s">
        <v>7</v>
      </c>
      <c r="C31" s="18"/>
      <c r="D31" s="8"/>
      <c r="F31" s="18"/>
      <c r="G31" s="8"/>
      <c r="I31" s="18" t="s">
        <v>69</v>
      </c>
      <c r="J31" s="8">
        <v>16</v>
      </c>
      <c r="L31" s="18"/>
      <c r="M31" s="8"/>
    </row>
    <row r="32" spans="1:13" x14ac:dyDescent="0.15">
      <c r="A32" s="5">
        <v>43189</v>
      </c>
      <c r="B32" s="5" t="s">
        <v>8</v>
      </c>
      <c r="F32" s="18" t="s">
        <v>20</v>
      </c>
      <c r="G32" s="8">
        <v>41</v>
      </c>
      <c r="I32" s="18" t="s">
        <v>20</v>
      </c>
      <c r="J32" s="8">
        <v>41</v>
      </c>
      <c r="L32" s="18"/>
      <c r="M32" s="8"/>
    </row>
    <row r="33" spans="1:13" ht="14.25" thickBot="1" x14ac:dyDescent="0.2">
      <c r="A33" s="5">
        <v>43190</v>
      </c>
      <c r="B33" s="5" t="s">
        <v>9</v>
      </c>
      <c r="F33" s="21"/>
      <c r="G33" s="10"/>
      <c r="I33" s="21"/>
      <c r="J33" s="10"/>
      <c r="L33" s="21"/>
      <c r="M33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31"/>
  <sheetViews>
    <sheetView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SUM(D3:D31)</f>
        <v>0</v>
      </c>
      <c r="D2" s="43"/>
      <c r="E2" s="3"/>
      <c r="F2" s="42">
        <f>SUM(G3:G31)</f>
        <v>10</v>
      </c>
      <c r="G2" s="43"/>
      <c r="H2" s="14"/>
      <c r="I2" s="42">
        <f>SUM(J3:J31)</f>
        <v>0</v>
      </c>
      <c r="J2" s="43"/>
      <c r="K2" s="14"/>
      <c r="L2" s="42">
        <f>SUM(M3:M31)</f>
        <v>-84</v>
      </c>
      <c r="M2" s="43"/>
    </row>
    <row r="3" spans="1:13" x14ac:dyDescent="0.15">
      <c r="A3" s="5">
        <v>43132</v>
      </c>
      <c r="B3" s="5" t="s">
        <v>7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43133</v>
      </c>
      <c r="B4" s="5" t="s">
        <v>8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43134</v>
      </c>
      <c r="B5" s="5" t="s">
        <v>9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43135</v>
      </c>
      <c r="B6" s="5" t="s">
        <v>10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43136</v>
      </c>
      <c r="B7" s="5" t="s">
        <v>5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43137</v>
      </c>
      <c r="B8" s="5" t="s">
        <v>4</v>
      </c>
      <c r="C8" s="18"/>
      <c r="D8" s="8"/>
      <c r="F8" s="18"/>
      <c r="G8" s="8"/>
      <c r="I8" s="18"/>
      <c r="J8" s="8"/>
      <c r="L8" s="18"/>
      <c r="M8" s="8"/>
    </row>
    <row r="9" spans="1:13" x14ac:dyDescent="0.15">
      <c r="A9" s="5">
        <v>43138</v>
      </c>
      <c r="B9" s="5" t="s">
        <v>6</v>
      </c>
      <c r="C9" s="18"/>
      <c r="D9" s="8"/>
      <c r="F9" s="17" t="s">
        <v>56</v>
      </c>
      <c r="G9" s="8">
        <v>10</v>
      </c>
      <c r="I9" s="18"/>
      <c r="J9" s="8"/>
      <c r="L9" s="17" t="s">
        <v>56</v>
      </c>
      <c r="M9" s="8">
        <v>-28</v>
      </c>
    </row>
    <row r="10" spans="1:13" x14ac:dyDescent="0.15">
      <c r="A10" s="5">
        <v>43139</v>
      </c>
      <c r="B10" s="5" t="s">
        <v>7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43140</v>
      </c>
      <c r="B11" s="5" t="s">
        <v>8</v>
      </c>
      <c r="C11" s="18"/>
      <c r="D11" s="8"/>
      <c r="F11" s="18"/>
      <c r="G11" s="8"/>
      <c r="I11" s="18"/>
      <c r="J11" s="8"/>
      <c r="L11" s="17" t="s">
        <v>57</v>
      </c>
      <c r="M11" s="8">
        <v>18</v>
      </c>
    </row>
    <row r="12" spans="1:13" x14ac:dyDescent="0.15">
      <c r="A12" s="5">
        <v>43141</v>
      </c>
      <c r="B12" s="5" t="s">
        <v>9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43142</v>
      </c>
      <c r="B13" s="5" t="s">
        <v>10</v>
      </c>
      <c r="C13" s="18"/>
      <c r="D13" s="8"/>
      <c r="F13" s="18"/>
      <c r="G13" s="8"/>
      <c r="I13" s="18"/>
      <c r="J13" s="8"/>
      <c r="L13" s="18"/>
      <c r="M13" s="8"/>
    </row>
    <row r="14" spans="1:13" x14ac:dyDescent="0.15">
      <c r="A14" s="5">
        <v>43143</v>
      </c>
      <c r="B14" s="5" t="s">
        <v>5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43144</v>
      </c>
      <c r="B15" s="5" t="s">
        <v>4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43145</v>
      </c>
      <c r="B16" s="5" t="s">
        <v>6</v>
      </c>
      <c r="C16" s="18"/>
      <c r="D16" s="8"/>
      <c r="F16" s="18"/>
      <c r="G16" s="8"/>
      <c r="I16" s="18"/>
      <c r="J16" s="8"/>
      <c r="L16" s="17" t="s">
        <v>56</v>
      </c>
      <c r="M16" s="8">
        <v>28</v>
      </c>
    </row>
    <row r="17" spans="1:13" x14ac:dyDescent="0.15">
      <c r="A17" s="5">
        <v>43146</v>
      </c>
      <c r="B17" s="5" t="s">
        <v>7</v>
      </c>
      <c r="C17" s="18"/>
      <c r="D17" s="8"/>
      <c r="F17" s="18"/>
      <c r="G17" s="8"/>
      <c r="I17" s="18"/>
      <c r="J17" s="8"/>
      <c r="L17" s="18"/>
      <c r="M17" s="8"/>
    </row>
    <row r="18" spans="1:13" x14ac:dyDescent="0.15">
      <c r="A18" s="5">
        <v>43147</v>
      </c>
      <c r="B18" s="5" t="s">
        <v>8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43148</v>
      </c>
      <c r="B19" s="5" t="s">
        <v>9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43149</v>
      </c>
      <c r="B20" s="5" t="s">
        <v>10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43150</v>
      </c>
      <c r="B21" s="5" t="s">
        <v>5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43151</v>
      </c>
      <c r="B22" s="5" t="s">
        <v>4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43152</v>
      </c>
      <c r="B23" s="5" t="s">
        <v>6</v>
      </c>
      <c r="C23" s="18"/>
      <c r="D23" s="8"/>
      <c r="F23" s="18"/>
      <c r="G23" s="8"/>
      <c r="I23" s="18"/>
      <c r="J23" s="8"/>
      <c r="L23" s="17" t="s">
        <v>56</v>
      </c>
      <c r="M23" s="8">
        <v>28</v>
      </c>
    </row>
    <row r="24" spans="1:13" x14ac:dyDescent="0.15">
      <c r="A24" s="5">
        <v>43153</v>
      </c>
      <c r="B24" s="5" t="s">
        <v>7</v>
      </c>
      <c r="C24" s="18"/>
      <c r="D24" s="8"/>
      <c r="F24" s="18"/>
      <c r="G24" s="8"/>
      <c r="I24" s="18"/>
      <c r="J24" s="8"/>
      <c r="L24" s="18" t="s">
        <v>58</v>
      </c>
      <c r="M24" s="8">
        <v>-130</v>
      </c>
    </row>
    <row r="25" spans="1:13" x14ac:dyDescent="0.15">
      <c r="A25" s="5">
        <v>43154</v>
      </c>
      <c r="B25" s="5" t="s">
        <v>8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43155</v>
      </c>
      <c r="B26" s="5" t="s">
        <v>9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43156</v>
      </c>
      <c r="B27" s="5" t="s">
        <v>10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43157</v>
      </c>
      <c r="B28" s="5" t="s">
        <v>5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43158</v>
      </c>
      <c r="B29" s="5" t="s">
        <v>4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43159</v>
      </c>
      <c r="B30" s="5" t="s">
        <v>6</v>
      </c>
      <c r="C30" s="18"/>
      <c r="D30" s="8"/>
      <c r="F30" s="18"/>
      <c r="G30" s="8"/>
      <c r="I30" s="18"/>
      <c r="J30" s="8"/>
      <c r="L30" s="17"/>
      <c r="M30" s="8"/>
    </row>
    <row r="31" spans="1:13" ht="14.25" thickBot="1" x14ac:dyDescent="0.2">
      <c r="C31" s="18"/>
      <c r="D31" s="8"/>
      <c r="F31" s="21"/>
      <c r="G31" s="10"/>
      <c r="I31" s="21"/>
      <c r="J31" s="10"/>
      <c r="L31" s="21"/>
      <c r="M31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35"/>
  <sheetViews>
    <sheetView workbookViewId="0">
      <selection activeCell="F44" sqref="F44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hidden="1" customWidth="1"/>
    <col min="4" max="4" width="8" hidden="1" customWidth="1"/>
    <col min="5" max="5" width="3.625" hidden="1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SUM(D3:D35)</f>
        <v>0</v>
      </c>
      <c r="D2" s="43"/>
      <c r="E2" s="3"/>
      <c r="F2" s="42">
        <f>SUM(G3:G35)</f>
        <v>8</v>
      </c>
      <c r="G2" s="43"/>
      <c r="H2" s="14"/>
      <c r="I2" s="42">
        <f>SUM(J3:J35)</f>
        <v>-102</v>
      </c>
      <c r="J2" s="43"/>
      <c r="K2" s="14"/>
      <c r="L2" s="42">
        <f>SUM(M3:M35)</f>
        <v>-30</v>
      </c>
      <c r="M2" s="43"/>
    </row>
    <row r="3" spans="1:13" x14ac:dyDescent="0.15">
      <c r="A3" s="5">
        <v>43101</v>
      </c>
      <c r="B3" s="5" t="s">
        <v>5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43102</v>
      </c>
      <c r="B4" s="5" t="s">
        <v>4</v>
      </c>
      <c r="C4" s="18"/>
      <c r="D4" s="8"/>
      <c r="F4" s="18" t="s">
        <v>20</v>
      </c>
      <c r="G4" s="8">
        <v>-22</v>
      </c>
      <c r="I4" s="18" t="s">
        <v>21</v>
      </c>
      <c r="J4" s="8">
        <v>13</v>
      </c>
      <c r="L4" s="17"/>
      <c r="M4" s="8"/>
    </row>
    <row r="5" spans="1:13" x14ac:dyDescent="0.15">
      <c r="A5" s="5">
        <v>43103</v>
      </c>
      <c r="B5" s="5" t="s">
        <v>6</v>
      </c>
      <c r="C5" s="18"/>
      <c r="D5" s="8"/>
      <c r="F5" s="18"/>
      <c r="G5" s="8"/>
      <c r="I5" s="18" t="s">
        <v>21</v>
      </c>
      <c r="J5" s="8">
        <v>6</v>
      </c>
      <c r="L5" s="17"/>
      <c r="M5" s="8"/>
    </row>
    <row r="6" spans="1:13" x14ac:dyDescent="0.15">
      <c r="A6" s="5">
        <v>43104</v>
      </c>
      <c r="B6" s="5" t="s">
        <v>7</v>
      </c>
      <c r="C6" s="18"/>
      <c r="D6" s="8"/>
      <c r="F6" s="18" t="s">
        <v>51</v>
      </c>
      <c r="G6" s="8">
        <v>30</v>
      </c>
      <c r="I6" s="18" t="s">
        <v>21</v>
      </c>
      <c r="J6" s="8">
        <v>15</v>
      </c>
      <c r="L6" s="17"/>
      <c r="M6" s="8"/>
    </row>
    <row r="7" spans="1:13" x14ac:dyDescent="0.15">
      <c r="A7" s="5">
        <v>43105</v>
      </c>
      <c r="B7" s="5" t="s">
        <v>8</v>
      </c>
      <c r="C7" s="18"/>
      <c r="D7" s="8"/>
      <c r="F7" s="18"/>
      <c r="G7" s="8"/>
      <c r="I7" s="18" t="s">
        <v>21</v>
      </c>
      <c r="J7" s="8">
        <v>14</v>
      </c>
      <c r="L7" s="17"/>
      <c r="M7" s="8"/>
    </row>
    <row r="8" spans="1:13" x14ac:dyDescent="0.15">
      <c r="A8" s="5"/>
      <c r="B8" s="5"/>
      <c r="C8" s="18"/>
      <c r="D8" s="8"/>
      <c r="F8" s="18"/>
      <c r="G8" s="8"/>
      <c r="I8" s="18" t="s">
        <v>52</v>
      </c>
      <c r="J8" s="8">
        <v>-150</v>
      </c>
      <c r="L8" s="17"/>
      <c r="M8" s="8"/>
    </row>
    <row r="9" spans="1:13" x14ac:dyDescent="0.15">
      <c r="A9" s="5">
        <v>43106</v>
      </c>
      <c r="B9" s="5" t="s">
        <v>9</v>
      </c>
      <c r="C9" s="18"/>
      <c r="D9" s="8"/>
      <c r="F9" s="18"/>
      <c r="G9" s="8"/>
      <c r="I9" s="18"/>
      <c r="J9" s="8"/>
      <c r="L9" s="18"/>
      <c r="M9" s="8"/>
    </row>
    <row r="10" spans="1:13" x14ac:dyDescent="0.15">
      <c r="A10" s="5">
        <v>43107</v>
      </c>
      <c r="B10" s="5" t="s">
        <v>10</v>
      </c>
      <c r="C10" s="18"/>
      <c r="D10" s="8"/>
      <c r="F10" s="18"/>
      <c r="G10" s="8"/>
      <c r="I10" s="18"/>
      <c r="J10" s="8"/>
      <c r="L10" s="17"/>
      <c r="M10" s="8"/>
    </row>
    <row r="11" spans="1:13" x14ac:dyDescent="0.15">
      <c r="A11" s="5">
        <v>43108</v>
      </c>
      <c r="B11" s="5" t="s">
        <v>5</v>
      </c>
      <c r="C11" s="18"/>
      <c r="D11" s="8"/>
      <c r="F11" s="18"/>
      <c r="G11" s="8"/>
      <c r="I11" s="18"/>
      <c r="J11" s="8"/>
      <c r="L11" s="18"/>
      <c r="M11" s="8"/>
    </row>
    <row r="12" spans="1:13" x14ac:dyDescent="0.15">
      <c r="A12" s="5">
        <v>43109</v>
      </c>
      <c r="B12" s="5" t="s">
        <v>4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43110</v>
      </c>
      <c r="B13" s="5" t="s">
        <v>6</v>
      </c>
      <c r="C13" s="18"/>
      <c r="D13" s="8"/>
      <c r="F13" s="18"/>
      <c r="G13" s="8"/>
      <c r="I13" s="18"/>
      <c r="J13" s="8"/>
      <c r="L13" s="17"/>
      <c r="M13" s="8"/>
    </row>
    <row r="14" spans="1:13" x14ac:dyDescent="0.15">
      <c r="A14" s="5">
        <v>43111</v>
      </c>
      <c r="B14" s="5" t="s">
        <v>7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43112</v>
      </c>
      <c r="B15" s="5" t="s">
        <v>8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43113</v>
      </c>
      <c r="B16" s="5" t="s">
        <v>9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43114</v>
      </c>
      <c r="B17" s="5" t="s">
        <v>10</v>
      </c>
      <c r="C17" s="18"/>
      <c r="D17" s="8"/>
      <c r="F17" s="18"/>
      <c r="G17" s="8"/>
      <c r="I17" s="18"/>
      <c r="J17" s="8"/>
      <c r="L17" s="18"/>
      <c r="M17" s="8"/>
    </row>
    <row r="18" spans="1:13" x14ac:dyDescent="0.15">
      <c r="A18" s="5">
        <v>43115</v>
      </c>
      <c r="B18" s="5" t="s">
        <v>5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43116</v>
      </c>
      <c r="B19" s="5" t="s">
        <v>4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43117</v>
      </c>
      <c r="B20" s="5" t="s">
        <v>6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43118</v>
      </c>
      <c r="B21" s="5" t="s">
        <v>7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43119</v>
      </c>
      <c r="B22" s="5" t="s">
        <v>8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43120</v>
      </c>
      <c r="B23" s="5" t="s">
        <v>9</v>
      </c>
      <c r="C23" s="18"/>
      <c r="D23" s="8"/>
      <c r="F23" s="18"/>
      <c r="G23" s="8"/>
      <c r="I23" s="18"/>
      <c r="J23" s="8"/>
      <c r="L23" s="18"/>
      <c r="M23" s="8"/>
    </row>
    <row r="24" spans="1:13" x14ac:dyDescent="0.15">
      <c r="A24" s="5">
        <v>43121</v>
      </c>
      <c r="B24" s="5" t="s">
        <v>10</v>
      </c>
      <c r="C24" s="18"/>
      <c r="D24" s="8"/>
      <c r="F24" s="18"/>
      <c r="G24" s="8"/>
      <c r="I24" s="18"/>
      <c r="J24" s="8"/>
      <c r="L24" s="17"/>
      <c r="M24" s="8"/>
    </row>
    <row r="25" spans="1:13" x14ac:dyDescent="0.15">
      <c r="A25" s="5">
        <v>43122</v>
      </c>
      <c r="B25" s="5" t="s">
        <v>5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43123</v>
      </c>
      <c r="B26" s="5" t="s">
        <v>4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43124</v>
      </c>
      <c r="B27" s="5" t="s">
        <v>6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43125</v>
      </c>
      <c r="B28" s="5" t="s">
        <v>7</v>
      </c>
      <c r="C28" s="18"/>
      <c r="D28" s="8"/>
      <c r="F28" s="18"/>
      <c r="G28" s="8"/>
      <c r="I28" s="18"/>
      <c r="J28" s="8"/>
      <c r="L28" s="18" t="s">
        <v>53</v>
      </c>
      <c r="M28" s="8">
        <v>13</v>
      </c>
    </row>
    <row r="29" spans="1:13" x14ac:dyDescent="0.15">
      <c r="A29" s="5">
        <v>43126</v>
      </c>
      <c r="B29" s="5" t="s">
        <v>8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43127</v>
      </c>
      <c r="B30" s="5" t="s">
        <v>9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43128</v>
      </c>
      <c r="B31" s="5" t="s">
        <v>10</v>
      </c>
      <c r="C31" s="18"/>
      <c r="D31" s="8"/>
      <c r="F31" s="18"/>
      <c r="G31" s="8"/>
      <c r="I31" s="18"/>
      <c r="J31" s="8"/>
      <c r="L31" s="17"/>
      <c r="M31" s="8"/>
    </row>
    <row r="32" spans="1:13" x14ac:dyDescent="0.15">
      <c r="A32" s="5">
        <v>43129</v>
      </c>
      <c r="B32" s="5" t="s">
        <v>5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43130</v>
      </c>
      <c r="B33" s="5" t="s">
        <v>4</v>
      </c>
      <c r="C33" s="18"/>
      <c r="D33" s="8"/>
      <c r="F33" s="18"/>
      <c r="G33" s="8"/>
      <c r="I33" s="18"/>
      <c r="J33" s="8"/>
      <c r="L33" s="18"/>
      <c r="M33" s="8"/>
    </row>
    <row r="34" spans="1:13" x14ac:dyDescent="0.15">
      <c r="A34" s="5">
        <v>43131</v>
      </c>
      <c r="B34" s="5" t="s">
        <v>6</v>
      </c>
      <c r="C34" s="18"/>
      <c r="D34" s="8"/>
      <c r="F34" s="18"/>
      <c r="G34" s="8"/>
      <c r="I34" s="18"/>
      <c r="J34" s="8"/>
      <c r="L34" s="18" t="s">
        <v>55</v>
      </c>
      <c r="M34" s="8">
        <v>-15</v>
      </c>
    </row>
    <row r="35" spans="1:13" ht="14.25" thickBot="1" x14ac:dyDescent="0.2">
      <c r="C35" s="18"/>
      <c r="D35" s="8"/>
      <c r="F35" s="21"/>
      <c r="G35" s="10"/>
      <c r="I35" s="21"/>
      <c r="J35" s="10"/>
      <c r="L35" s="21" t="s">
        <v>54</v>
      </c>
      <c r="M35" s="10">
        <v>-28</v>
      </c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35"/>
  <sheetViews>
    <sheetView workbookViewId="0">
      <selection activeCell="C19" sqref="C19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customWidth="1"/>
    <col min="4" max="4" width="8" customWidth="1"/>
    <col min="5" max="5" width="3.625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  <col min="14" max="14" width="3.625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SUM(D3:D35)</f>
        <v>-151</v>
      </c>
      <c r="D2" s="43"/>
      <c r="E2" s="3"/>
      <c r="F2" s="42">
        <f>SUM(G3:G35)</f>
        <v>33</v>
      </c>
      <c r="G2" s="43"/>
      <c r="H2" s="14"/>
      <c r="I2" s="42">
        <f>SUM(J3:J35)</f>
        <v>0</v>
      </c>
      <c r="J2" s="43"/>
      <c r="K2" s="14"/>
      <c r="L2" s="42">
        <f>SUM(M3:M35)</f>
        <v>-56</v>
      </c>
      <c r="M2" s="43"/>
    </row>
    <row r="3" spans="1:13" x14ac:dyDescent="0.15">
      <c r="A3" s="5">
        <v>43070</v>
      </c>
      <c r="B3" s="5" t="s">
        <v>8</v>
      </c>
      <c r="C3" s="17"/>
      <c r="D3" s="8"/>
      <c r="F3" s="17"/>
      <c r="G3" s="8"/>
      <c r="H3" s="15"/>
      <c r="I3" s="17"/>
      <c r="J3" s="8"/>
      <c r="K3" s="15"/>
      <c r="L3" s="18"/>
      <c r="M3" s="8"/>
    </row>
    <row r="4" spans="1:13" x14ac:dyDescent="0.15">
      <c r="A4" s="5">
        <v>43071</v>
      </c>
      <c r="B4" s="5" t="s">
        <v>9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43072</v>
      </c>
      <c r="B5" s="5" t="s">
        <v>10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43073</v>
      </c>
      <c r="B6" s="5" t="s">
        <v>5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43074</v>
      </c>
      <c r="B7" s="5" t="s">
        <v>4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43075</v>
      </c>
      <c r="B8" s="5" t="s">
        <v>6</v>
      </c>
      <c r="C8" s="18"/>
      <c r="D8" s="8"/>
      <c r="F8" s="18"/>
      <c r="G8" s="8"/>
      <c r="I8" s="18"/>
      <c r="J8" s="8"/>
      <c r="L8" s="18" t="s">
        <v>46</v>
      </c>
      <c r="M8" s="8">
        <v>-28</v>
      </c>
    </row>
    <row r="9" spans="1:13" x14ac:dyDescent="0.15">
      <c r="A9" s="5">
        <v>43076</v>
      </c>
      <c r="B9" s="5" t="s">
        <v>7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43077</v>
      </c>
      <c r="B10" s="5" t="s">
        <v>8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43078</v>
      </c>
      <c r="B11" s="5" t="s">
        <v>9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43079</v>
      </c>
      <c r="B12" s="5" t="s">
        <v>10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43080</v>
      </c>
      <c r="B13" s="5" t="s">
        <v>5</v>
      </c>
      <c r="C13" s="18"/>
      <c r="D13" s="8"/>
      <c r="F13" s="18"/>
      <c r="G13" s="8"/>
      <c r="I13" s="18"/>
      <c r="J13" s="8"/>
      <c r="L13" s="18"/>
      <c r="M13" s="8"/>
    </row>
    <row r="14" spans="1:13" x14ac:dyDescent="0.15">
      <c r="A14" s="5">
        <v>43081</v>
      </c>
      <c r="B14" s="5" t="s">
        <v>4</v>
      </c>
      <c r="C14" s="18"/>
      <c r="D14" s="8"/>
      <c r="F14" s="18" t="s">
        <v>49</v>
      </c>
      <c r="G14" s="8">
        <v>-26</v>
      </c>
      <c r="I14" s="18"/>
      <c r="J14" s="8"/>
      <c r="L14" s="18"/>
      <c r="M14" s="8"/>
    </row>
    <row r="15" spans="1:13" x14ac:dyDescent="0.15">
      <c r="A15" s="5"/>
      <c r="B15" s="5"/>
      <c r="C15" s="18"/>
      <c r="D15" s="8"/>
      <c r="F15" s="18" t="s">
        <v>50</v>
      </c>
      <c r="G15" s="8">
        <v>59</v>
      </c>
      <c r="I15" s="18"/>
      <c r="J15" s="8"/>
      <c r="L15" s="18"/>
      <c r="M15" s="8"/>
    </row>
    <row r="16" spans="1:13" x14ac:dyDescent="0.15">
      <c r="A16" s="5">
        <v>43082</v>
      </c>
      <c r="B16" s="5" t="s">
        <v>6</v>
      </c>
      <c r="C16" s="18"/>
      <c r="D16" s="8"/>
      <c r="F16" s="18"/>
      <c r="G16" s="8"/>
      <c r="I16" s="18"/>
      <c r="J16" s="8"/>
      <c r="L16" s="18" t="s">
        <v>46</v>
      </c>
      <c r="M16" s="8">
        <v>-28</v>
      </c>
    </row>
    <row r="17" spans="1:13" x14ac:dyDescent="0.15">
      <c r="A17" s="5">
        <v>43083</v>
      </c>
      <c r="B17" s="5" t="s">
        <v>7</v>
      </c>
      <c r="C17" s="18"/>
      <c r="D17" s="8"/>
      <c r="F17" s="18" t="s">
        <v>21</v>
      </c>
      <c r="G17" s="8">
        <v>16</v>
      </c>
      <c r="I17" s="18"/>
      <c r="J17" s="8"/>
      <c r="L17" s="18"/>
      <c r="M17" s="8"/>
    </row>
    <row r="18" spans="1:13" x14ac:dyDescent="0.15">
      <c r="A18" s="5">
        <v>43084</v>
      </c>
      <c r="B18" s="5" t="s">
        <v>8</v>
      </c>
      <c r="C18" s="18" t="s">
        <v>27</v>
      </c>
      <c r="D18" s="8">
        <v>-151</v>
      </c>
      <c r="F18" s="18" t="s">
        <v>27</v>
      </c>
      <c r="G18" s="8">
        <v>-16</v>
      </c>
      <c r="I18" s="18"/>
      <c r="J18" s="8"/>
      <c r="L18" s="18"/>
      <c r="M18" s="8"/>
    </row>
    <row r="19" spans="1:13" x14ac:dyDescent="0.15">
      <c r="A19" s="5">
        <v>43085</v>
      </c>
      <c r="B19" s="5" t="s">
        <v>9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43086</v>
      </c>
      <c r="B20" s="5" t="s">
        <v>10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43087</v>
      </c>
      <c r="B21" s="5" t="s">
        <v>5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43088</v>
      </c>
      <c r="B22" s="5" t="s">
        <v>4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43089</v>
      </c>
      <c r="B23" s="5" t="s">
        <v>6</v>
      </c>
      <c r="C23" s="18"/>
      <c r="D23" s="8"/>
      <c r="F23" s="18"/>
      <c r="G23" s="8"/>
      <c r="I23" s="18"/>
      <c r="J23" s="8"/>
      <c r="L23" s="18"/>
      <c r="M23" s="8"/>
    </row>
    <row r="24" spans="1:13" x14ac:dyDescent="0.15">
      <c r="A24" s="5">
        <v>43090</v>
      </c>
      <c r="B24" s="5" t="s">
        <v>7</v>
      </c>
      <c r="C24" s="18"/>
      <c r="D24" s="8"/>
      <c r="F24" s="18"/>
      <c r="G24" s="8"/>
      <c r="I24" s="18"/>
      <c r="J24" s="8"/>
      <c r="L24" s="17"/>
      <c r="M24" s="8"/>
    </row>
    <row r="25" spans="1:13" x14ac:dyDescent="0.15">
      <c r="A25" s="5">
        <v>43091</v>
      </c>
      <c r="B25" s="5" t="s">
        <v>8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43092</v>
      </c>
      <c r="B26" s="5" t="s">
        <v>9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43093</v>
      </c>
      <c r="B27" s="5" t="s">
        <v>10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43094</v>
      </c>
      <c r="B28" s="5" t="s">
        <v>5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43095</v>
      </c>
      <c r="B29" s="5" t="s">
        <v>4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43096</v>
      </c>
      <c r="B30" s="5" t="s">
        <v>6</v>
      </c>
      <c r="C30" s="18"/>
      <c r="D30" s="8"/>
      <c r="F30" s="18"/>
      <c r="G30" s="8"/>
      <c r="I30" s="18"/>
      <c r="J30" s="8"/>
      <c r="L30" s="18"/>
      <c r="M30" s="8"/>
    </row>
    <row r="31" spans="1:13" x14ac:dyDescent="0.15">
      <c r="A31" s="5">
        <v>43097</v>
      </c>
      <c r="B31" s="5" t="s">
        <v>7</v>
      </c>
      <c r="C31" s="18"/>
      <c r="D31" s="8"/>
      <c r="F31" s="18"/>
      <c r="G31" s="8"/>
      <c r="I31" s="18"/>
      <c r="J31" s="8"/>
      <c r="L31" s="17"/>
      <c r="M31" s="8"/>
    </row>
    <row r="32" spans="1:13" x14ac:dyDescent="0.15">
      <c r="A32" s="5">
        <v>43098</v>
      </c>
      <c r="B32" s="5" t="s">
        <v>8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43099</v>
      </c>
      <c r="B33" s="5" t="s">
        <v>9</v>
      </c>
      <c r="C33" s="18"/>
      <c r="D33" s="8"/>
      <c r="F33" s="18"/>
      <c r="G33" s="8"/>
      <c r="I33" s="18"/>
      <c r="J33" s="8"/>
      <c r="L33" s="18"/>
      <c r="M33" s="8"/>
    </row>
    <row r="34" spans="1:13" x14ac:dyDescent="0.15">
      <c r="A34" s="5">
        <v>43100</v>
      </c>
      <c r="B34" s="5" t="s">
        <v>10</v>
      </c>
      <c r="C34" s="18"/>
      <c r="D34" s="8"/>
      <c r="F34" s="18"/>
      <c r="G34" s="8"/>
      <c r="I34" s="18"/>
      <c r="J34" s="8"/>
      <c r="L34" s="18"/>
      <c r="M34" s="8"/>
    </row>
    <row r="35" spans="1:13" ht="14.25" thickBot="1" x14ac:dyDescent="0.2">
      <c r="A35" s="5"/>
      <c r="B35" s="5"/>
      <c r="C35" s="21"/>
      <c r="D35" s="10"/>
      <c r="F35" s="21"/>
      <c r="G35" s="10"/>
      <c r="I35" s="21"/>
      <c r="J35" s="10"/>
      <c r="L35" s="21"/>
      <c r="M35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34"/>
  <sheetViews>
    <sheetView workbookViewId="0">
      <selection activeCell="L27" sqref="L27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customWidth="1"/>
    <col min="4" max="4" width="8" customWidth="1"/>
    <col min="5" max="5" width="3.625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  <col min="14" max="14" width="3.625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SUM(D3:D34)</f>
        <v>0</v>
      </c>
      <c r="D2" s="43"/>
      <c r="E2" s="3"/>
      <c r="F2" s="42">
        <f>SUM(G3:G34)</f>
        <v>0</v>
      </c>
      <c r="G2" s="43"/>
      <c r="H2" s="14"/>
      <c r="I2" s="42">
        <f>SUM(J3:J34)</f>
        <v>0</v>
      </c>
      <c r="J2" s="43"/>
      <c r="K2" s="14"/>
      <c r="L2" s="42">
        <f>SUM(M3:M34)</f>
        <v>-140</v>
      </c>
      <c r="M2" s="43"/>
    </row>
    <row r="3" spans="1:13" x14ac:dyDescent="0.15">
      <c r="A3" s="5">
        <v>43040</v>
      </c>
      <c r="B3" s="5" t="s">
        <v>6</v>
      </c>
      <c r="C3" s="17"/>
      <c r="D3" s="8"/>
      <c r="F3" s="17"/>
      <c r="G3" s="8"/>
      <c r="H3" s="15"/>
      <c r="I3" s="17"/>
      <c r="J3" s="8"/>
      <c r="K3" s="15"/>
      <c r="L3" s="18" t="s">
        <v>46</v>
      </c>
      <c r="M3" s="8">
        <v>-28</v>
      </c>
    </row>
    <row r="4" spans="1:13" x14ac:dyDescent="0.15">
      <c r="A4" s="5">
        <v>43041</v>
      </c>
      <c r="B4" s="5" t="s">
        <v>7</v>
      </c>
      <c r="C4" s="18"/>
      <c r="D4" s="8"/>
      <c r="F4" s="18"/>
      <c r="G4" s="8"/>
      <c r="I4" s="18"/>
      <c r="J4" s="8"/>
      <c r="L4" s="17"/>
      <c r="M4" s="8"/>
    </row>
    <row r="5" spans="1:13" x14ac:dyDescent="0.15">
      <c r="A5" s="5">
        <v>43042</v>
      </c>
      <c r="B5" s="5" t="s">
        <v>8</v>
      </c>
      <c r="C5" s="18"/>
      <c r="D5" s="8"/>
      <c r="F5" s="18"/>
      <c r="G5" s="8"/>
      <c r="I5" s="18"/>
      <c r="J5" s="8"/>
      <c r="L5" s="17"/>
      <c r="M5" s="8"/>
    </row>
    <row r="6" spans="1:13" x14ac:dyDescent="0.15">
      <c r="A6" s="5">
        <v>43043</v>
      </c>
      <c r="B6" s="5" t="s">
        <v>9</v>
      </c>
      <c r="C6" s="18"/>
      <c r="D6" s="8"/>
      <c r="F6" s="18"/>
      <c r="G6" s="8"/>
      <c r="I6" s="18"/>
      <c r="J6" s="8"/>
      <c r="L6" s="17"/>
      <c r="M6" s="8"/>
    </row>
    <row r="7" spans="1:13" x14ac:dyDescent="0.15">
      <c r="A7" s="5">
        <v>43044</v>
      </c>
      <c r="B7" s="5" t="s">
        <v>10</v>
      </c>
      <c r="C7" s="18"/>
      <c r="D7" s="8"/>
      <c r="F7" s="18"/>
      <c r="G7" s="8"/>
      <c r="I7" s="18"/>
      <c r="J7" s="8"/>
      <c r="L7" s="17"/>
      <c r="M7" s="8"/>
    </row>
    <row r="8" spans="1:13" x14ac:dyDescent="0.15">
      <c r="A8" s="5">
        <v>43045</v>
      </c>
      <c r="B8" s="5" t="s">
        <v>5</v>
      </c>
      <c r="C8" s="18"/>
      <c r="D8" s="8"/>
      <c r="F8" s="18"/>
      <c r="G8" s="8"/>
      <c r="I8" s="18"/>
      <c r="J8" s="8"/>
      <c r="L8" s="17"/>
      <c r="M8" s="8"/>
    </row>
    <row r="9" spans="1:13" x14ac:dyDescent="0.15">
      <c r="A9" s="5">
        <v>43046</v>
      </c>
      <c r="B9" s="5" t="s">
        <v>4</v>
      </c>
      <c r="C9" s="18"/>
      <c r="D9" s="8"/>
      <c r="F9" s="18"/>
      <c r="G9" s="8"/>
      <c r="I9" s="18"/>
      <c r="J9" s="8"/>
      <c r="L9" s="17"/>
      <c r="M9" s="8"/>
    </row>
    <row r="10" spans="1:13" x14ac:dyDescent="0.15">
      <c r="A10" s="5">
        <v>43047</v>
      </c>
      <c r="B10" s="5" t="s">
        <v>6</v>
      </c>
      <c r="C10" s="18"/>
      <c r="D10" s="8"/>
      <c r="F10" s="18"/>
      <c r="G10" s="8"/>
      <c r="I10" s="18"/>
      <c r="J10" s="8"/>
      <c r="L10" s="18" t="s">
        <v>46</v>
      </c>
      <c r="M10" s="8">
        <v>-28</v>
      </c>
    </row>
    <row r="11" spans="1:13" x14ac:dyDescent="0.15">
      <c r="A11" s="5">
        <v>43048</v>
      </c>
      <c r="B11" s="5" t="s">
        <v>7</v>
      </c>
      <c r="C11" s="18"/>
      <c r="D11" s="8"/>
      <c r="F11" s="18"/>
      <c r="G11" s="8"/>
      <c r="I11" s="18"/>
      <c r="J11" s="8"/>
      <c r="L11" s="17"/>
      <c r="M11" s="8"/>
    </row>
    <row r="12" spans="1:13" x14ac:dyDescent="0.15">
      <c r="A12" s="5">
        <v>43049</v>
      </c>
      <c r="B12" s="5" t="s">
        <v>8</v>
      </c>
      <c r="C12" s="18"/>
      <c r="D12" s="8"/>
      <c r="F12" s="18"/>
      <c r="G12" s="8"/>
      <c r="I12" s="18"/>
      <c r="J12" s="8"/>
      <c r="L12" s="17"/>
      <c r="M12" s="8"/>
    </row>
    <row r="13" spans="1:13" x14ac:dyDescent="0.15">
      <c r="A13" s="5">
        <v>43050</v>
      </c>
      <c r="B13" s="5" t="s">
        <v>9</v>
      </c>
      <c r="C13" s="18"/>
      <c r="D13" s="8"/>
      <c r="F13" s="18"/>
      <c r="G13" s="8"/>
      <c r="I13" s="18"/>
      <c r="J13" s="8"/>
      <c r="L13" s="18"/>
      <c r="M13" s="8"/>
    </row>
    <row r="14" spans="1:13" x14ac:dyDescent="0.15">
      <c r="A14" s="5">
        <v>43051</v>
      </c>
      <c r="B14" s="5" t="s">
        <v>10</v>
      </c>
      <c r="C14" s="18"/>
      <c r="D14" s="8"/>
      <c r="F14" s="18"/>
      <c r="G14" s="8"/>
      <c r="I14" s="18"/>
      <c r="J14" s="8"/>
      <c r="L14" s="18"/>
      <c r="M14" s="8"/>
    </row>
    <row r="15" spans="1:13" x14ac:dyDescent="0.15">
      <c r="A15" s="5">
        <v>43052</v>
      </c>
      <c r="B15" s="5" t="s">
        <v>5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43053</v>
      </c>
      <c r="B16" s="5" t="s">
        <v>4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43054</v>
      </c>
      <c r="B17" s="5" t="s">
        <v>6</v>
      </c>
      <c r="C17" s="18"/>
      <c r="D17" s="8"/>
      <c r="F17" s="18"/>
      <c r="G17" s="8"/>
      <c r="I17" s="18"/>
      <c r="J17" s="8"/>
      <c r="L17" s="18" t="s">
        <v>46</v>
      </c>
      <c r="M17" s="8">
        <v>-28</v>
      </c>
    </row>
    <row r="18" spans="1:13" x14ac:dyDescent="0.15">
      <c r="A18" s="5">
        <v>43055</v>
      </c>
      <c r="B18" s="5" t="s">
        <v>7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43056</v>
      </c>
      <c r="B19" s="5" t="s">
        <v>8</v>
      </c>
      <c r="C19" s="18"/>
      <c r="D19" s="8"/>
      <c r="F19" s="18"/>
      <c r="G19" s="8"/>
      <c r="I19" s="18"/>
      <c r="J19" s="8"/>
      <c r="L19" s="18"/>
      <c r="M19" s="8"/>
    </row>
    <row r="20" spans="1:13" x14ac:dyDescent="0.15">
      <c r="A20" s="5">
        <v>43057</v>
      </c>
      <c r="B20" s="5" t="s">
        <v>9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43058</v>
      </c>
      <c r="B21" s="5" t="s">
        <v>10</v>
      </c>
      <c r="C21" s="18"/>
      <c r="D21" s="8"/>
      <c r="F21" s="18"/>
      <c r="G21" s="8"/>
      <c r="I21" s="18"/>
      <c r="J21" s="8"/>
      <c r="L21" s="18"/>
      <c r="M21" s="8"/>
    </row>
    <row r="22" spans="1:13" x14ac:dyDescent="0.15">
      <c r="A22" s="5">
        <v>43059</v>
      </c>
      <c r="B22" s="5" t="s">
        <v>5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43060</v>
      </c>
      <c r="B23" s="5" t="s">
        <v>4</v>
      </c>
      <c r="C23" s="18"/>
      <c r="D23" s="8"/>
      <c r="F23" s="18"/>
      <c r="G23" s="8"/>
      <c r="I23" s="18"/>
      <c r="J23" s="8"/>
      <c r="L23" s="17"/>
      <c r="M23" s="8"/>
    </row>
    <row r="24" spans="1:13" x14ac:dyDescent="0.15">
      <c r="A24" s="5">
        <v>43061</v>
      </c>
      <c r="B24" s="5" t="s">
        <v>6</v>
      </c>
      <c r="C24" s="18"/>
      <c r="D24" s="8"/>
      <c r="F24" s="18"/>
      <c r="G24" s="8"/>
      <c r="I24" s="18"/>
      <c r="J24" s="8"/>
      <c r="L24" s="18" t="s">
        <v>46</v>
      </c>
      <c r="M24" s="8">
        <v>-28</v>
      </c>
    </row>
    <row r="25" spans="1:13" x14ac:dyDescent="0.15">
      <c r="A25" s="5">
        <v>43062</v>
      </c>
      <c r="B25" s="5" t="s">
        <v>7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43063</v>
      </c>
      <c r="B26" s="5" t="s">
        <v>8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43064</v>
      </c>
      <c r="B27" s="5" t="s">
        <v>9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43065</v>
      </c>
      <c r="B28" s="5" t="s">
        <v>10</v>
      </c>
      <c r="C28" s="18"/>
      <c r="D28" s="8"/>
      <c r="F28" s="18"/>
      <c r="G28" s="8"/>
      <c r="I28" s="18"/>
      <c r="J28" s="8"/>
      <c r="L28" s="18"/>
      <c r="M28" s="8"/>
    </row>
    <row r="29" spans="1:13" x14ac:dyDescent="0.15">
      <c r="A29" s="5">
        <v>43066</v>
      </c>
      <c r="B29" s="5" t="s">
        <v>5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43067</v>
      </c>
      <c r="B30" s="5" t="s">
        <v>4</v>
      </c>
      <c r="C30" s="18"/>
      <c r="D30" s="8"/>
      <c r="F30" s="18"/>
      <c r="G30" s="8"/>
      <c r="I30" s="18"/>
      <c r="J30" s="8"/>
      <c r="L30" s="17"/>
      <c r="M30" s="8"/>
    </row>
    <row r="31" spans="1:13" x14ac:dyDescent="0.15">
      <c r="A31" s="5">
        <v>43068</v>
      </c>
      <c r="B31" s="5" t="s">
        <v>6</v>
      </c>
      <c r="C31" s="18"/>
      <c r="D31" s="8"/>
      <c r="F31" s="18"/>
      <c r="G31" s="8"/>
      <c r="I31" s="18"/>
      <c r="J31" s="8"/>
      <c r="L31" s="18" t="s">
        <v>46</v>
      </c>
      <c r="M31" s="8">
        <v>-28</v>
      </c>
    </row>
    <row r="32" spans="1:13" x14ac:dyDescent="0.15">
      <c r="A32" s="5">
        <v>43069</v>
      </c>
      <c r="B32" s="5" t="s">
        <v>7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/>
      <c r="B33" s="5"/>
      <c r="C33" s="18"/>
      <c r="D33" s="8"/>
      <c r="F33" s="18"/>
      <c r="G33" s="8"/>
      <c r="I33" s="18"/>
      <c r="J33" s="8"/>
      <c r="L33" s="18"/>
      <c r="M33" s="8"/>
    </row>
    <row r="34" spans="1:13" ht="14.25" thickBot="1" x14ac:dyDescent="0.2">
      <c r="A34" s="5"/>
      <c r="B34" s="5"/>
      <c r="C34" s="21"/>
      <c r="D34" s="10"/>
      <c r="F34" s="21"/>
      <c r="G34" s="10"/>
      <c r="I34" s="21"/>
      <c r="J34" s="10"/>
      <c r="L34" s="21"/>
      <c r="M34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34"/>
  <sheetViews>
    <sheetView topLeftCell="A17" workbookViewId="0">
      <selection activeCell="F28" sqref="F28"/>
    </sheetView>
  </sheetViews>
  <sheetFormatPr defaultRowHeight="13.5" x14ac:dyDescent="0.15"/>
  <cols>
    <col min="1" max="1" width="9.25" bestFit="1" customWidth="1"/>
    <col min="2" max="2" width="5.25" bestFit="1" customWidth="1"/>
    <col min="3" max="3" width="11.375" style="20" customWidth="1"/>
    <col min="4" max="4" width="8" customWidth="1"/>
    <col min="5" max="5" width="3.625" customWidth="1"/>
    <col min="6" max="6" width="13" bestFit="1" customWidth="1"/>
    <col min="7" max="7" width="6.5" bestFit="1" customWidth="1"/>
    <col min="8" max="8" width="3.625" customWidth="1"/>
    <col min="9" max="9" width="10.125" customWidth="1"/>
    <col min="11" max="11" width="3.625" customWidth="1"/>
    <col min="12" max="12" width="11" bestFit="1" customWidth="1"/>
    <col min="14" max="14" width="3.625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2">
        <f>SUM(D3:D34)</f>
        <v>0</v>
      </c>
      <c r="D2" s="43"/>
      <c r="E2" s="3"/>
      <c r="F2" s="42">
        <f>SUM(G3:G34)</f>
        <v>-981.2</v>
      </c>
      <c r="G2" s="43"/>
      <c r="H2" s="14"/>
      <c r="I2" s="42">
        <f>SUM(J3:J34)</f>
        <v>0</v>
      </c>
      <c r="J2" s="43"/>
      <c r="K2" s="14"/>
      <c r="L2" s="42">
        <f>SUM(M3:M34)</f>
        <v>-314</v>
      </c>
      <c r="M2" s="43"/>
    </row>
    <row r="3" spans="1:13" x14ac:dyDescent="0.15">
      <c r="A3" s="5">
        <v>43009</v>
      </c>
      <c r="B3" s="5" t="s">
        <v>44</v>
      </c>
      <c r="C3" s="17"/>
      <c r="D3" s="8"/>
      <c r="F3" s="17"/>
      <c r="G3" s="8"/>
      <c r="H3" s="15"/>
      <c r="I3" s="17"/>
      <c r="J3" s="8"/>
      <c r="K3" s="15"/>
      <c r="L3" s="17" t="s">
        <v>43</v>
      </c>
      <c r="M3" s="8">
        <v>-10</v>
      </c>
    </row>
    <row r="4" spans="1:13" x14ac:dyDescent="0.15">
      <c r="A4" s="5">
        <v>43010</v>
      </c>
      <c r="B4" s="5" t="s">
        <v>5</v>
      </c>
      <c r="C4" s="18"/>
      <c r="D4" s="8"/>
      <c r="F4" s="18"/>
      <c r="G4" s="8"/>
      <c r="I4" s="18"/>
      <c r="J4" s="8"/>
      <c r="L4" s="17" t="s">
        <v>43</v>
      </c>
      <c r="M4" s="8">
        <v>-10</v>
      </c>
    </row>
    <row r="5" spans="1:13" x14ac:dyDescent="0.15">
      <c r="A5" s="5">
        <v>43011</v>
      </c>
      <c r="B5" s="5" t="s">
        <v>4</v>
      </c>
      <c r="C5" s="18"/>
      <c r="D5" s="8"/>
      <c r="F5" s="18"/>
      <c r="G5" s="8"/>
      <c r="I5" s="18"/>
      <c r="J5" s="8"/>
      <c r="L5" s="17" t="s">
        <v>43</v>
      </c>
      <c r="M5" s="8">
        <v>-10</v>
      </c>
    </row>
    <row r="6" spans="1:13" x14ac:dyDescent="0.15">
      <c r="A6" s="5">
        <v>43012</v>
      </c>
      <c r="B6" s="5" t="s">
        <v>6</v>
      </c>
      <c r="C6" s="18"/>
      <c r="D6" s="8"/>
      <c r="F6" s="18"/>
      <c r="G6" s="8"/>
      <c r="I6" s="18"/>
      <c r="J6" s="8"/>
      <c r="L6" s="17" t="s">
        <v>43</v>
      </c>
      <c r="M6" s="8">
        <v>-20</v>
      </c>
    </row>
    <row r="7" spans="1:13" x14ac:dyDescent="0.15">
      <c r="A7" s="5">
        <v>43013</v>
      </c>
      <c r="B7" s="5" t="s">
        <v>7</v>
      </c>
      <c r="C7" s="18"/>
      <c r="D7" s="8"/>
      <c r="F7" s="18"/>
      <c r="G7" s="8"/>
      <c r="I7" s="18"/>
      <c r="J7" s="8"/>
      <c r="L7" s="17" t="s">
        <v>43</v>
      </c>
      <c r="M7" s="8">
        <v>-10</v>
      </c>
    </row>
    <row r="8" spans="1:13" x14ac:dyDescent="0.15">
      <c r="A8" s="5">
        <v>43014</v>
      </c>
      <c r="B8" s="5" t="s">
        <v>8</v>
      </c>
      <c r="C8" s="18"/>
      <c r="D8" s="8"/>
      <c r="F8" s="18" t="s">
        <v>45</v>
      </c>
      <c r="G8" s="8">
        <v>10</v>
      </c>
      <c r="I8" s="18"/>
      <c r="J8" s="8"/>
      <c r="L8" s="17" t="s">
        <v>43</v>
      </c>
      <c r="M8" s="8">
        <v>-40</v>
      </c>
    </row>
    <row r="9" spans="1:13" x14ac:dyDescent="0.15">
      <c r="A9" s="5"/>
      <c r="B9" s="5"/>
      <c r="C9" s="18"/>
      <c r="D9" s="8"/>
      <c r="F9" s="18" t="s">
        <v>46</v>
      </c>
      <c r="G9" s="8">
        <v>8.8000000000000007</v>
      </c>
      <c r="I9" s="18"/>
      <c r="J9" s="8"/>
      <c r="L9" s="17"/>
      <c r="M9" s="8"/>
    </row>
    <row r="10" spans="1:13" x14ac:dyDescent="0.15">
      <c r="A10" s="5">
        <v>43015</v>
      </c>
      <c r="B10" s="5" t="s">
        <v>9</v>
      </c>
      <c r="C10" s="18"/>
      <c r="D10" s="8"/>
      <c r="F10" s="18"/>
      <c r="G10" s="8"/>
      <c r="I10" s="18"/>
      <c r="J10" s="8"/>
      <c r="L10" s="18"/>
      <c r="M10" s="8"/>
    </row>
    <row r="11" spans="1:13" x14ac:dyDescent="0.15">
      <c r="A11" s="5">
        <v>43016</v>
      </c>
      <c r="B11" s="5" t="s">
        <v>10</v>
      </c>
      <c r="C11" s="18"/>
      <c r="D11" s="8"/>
      <c r="F11" s="18"/>
      <c r="G11" s="8"/>
      <c r="I11" s="18"/>
      <c r="J11" s="8"/>
      <c r="L11" s="17" t="s">
        <v>43</v>
      </c>
      <c r="M11" s="8">
        <v>-10</v>
      </c>
    </row>
    <row r="12" spans="1:13" x14ac:dyDescent="0.15">
      <c r="A12" s="5">
        <v>43017</v>
      </c>
      <c r="B12" s="5" t="s">
        <v>5</v>
      </c>
      <c r="C12" s="18"/>
      <c r="D12" s="8"/>
      <c r="F12" s="18"/>
      <c r="G12" s="8"/>
      <c r="I12" s="18"/>
      <c r="J12" s="8"/>
      <c r="L12" s="17" t="s">
        <v>43</v>
      </c>
      <c r="M12" s="8">
        <v>-10</v>
      </c>
    </row>
    <row r="13" spans="1:13" x14ac:dyDescent="0.15">
      <c r="A13" s="5">
        <v>43018</v>
      </c>
      <c r="B13" s="5" t="s">
        <v>4</v>
      </c>
      <c r="C13" s="18"/>
      <c r="D13" s="8"/>
      <c r="F13" s="18"/>
      <c r="G13" s="8"/>
      <c r="I13" s="18"/>
      <c r="J13" s="8"/>
      <c r="L13" s="18"/>
      <c r="M13" s="8"/>
    </row>
    <row r="14" spans="1:13" x14ac:dyDescent="0.15">
      <c r="A14" s="5">
        <v>43019</v>
      </c>
      <c r="B14" s="5" t="s">
        <v>6</v>
      </c>
      <c r="C14" s="18"/>
      <c r="D14" s="8"/>
      <c r="F14" s="18"/>
      <c r="G14" s="8"/>
      <c r="I14" s="18"/>
      <c r="J14" s="8"/>
      <c r="L14" s="18" t="s">
        <v>47</v>
      </c>
      <c r="M14" s="8">
        <v>-28</v>
      </c>
    </row>
    <row r="15" spans="1:13" x14ac:dyDescent="0.15">
      <c r="A15" s="5">
        <v>43020</v>
      </c>
      <c r="B15" s="5" t="s">
        <v>7</v>
      </c>
      <c r="C15" s="18"/>
      <c r="D15" s="8"/>
      <c r="F15" s="18"/>
      <c r="G15" s="8"/>
      <c r="I15" s="18"/>
      <c r="J15" s="8"/>
      <c r="L15" s="18"/>
      <c r="M15" s="8"/>
    </row>
    <row r="16" spans="1:13" x14ac:dyDescent="0.15">
      <c r="A16" s="5">
        <v>43021</v>
      </c>
      <c r="B16" s="5" t="s">
        <v>8</v>
      </c>
      <c r="C16" s="18"/>
      <c r="D16" s="8"/>
      <c r="F16" s="18"/>
      <c r="G16" s="8"/>
      <c r="I16" s="18"/>
      <c r="J16" s="8"/>
      <c r="L16" s="18"/>
      <c r="M16" s="8"/>
    </row>
    <row r="17" spans="1:13" x14ac:dyDescent="0.15">
      <c r="A17" s="5">
        <v>43022</v>
      </c>
      <c r="B17" s="5" t="s">
        <v>9</v>
      </c>
      <c r="C17" s="18"/>
      <c r="D17" s="8"/>
      <c r="F17" s="18"/>
      <c r="G17" s="8"/>
      <c r="I17" s="18"/>
      <c r="J17" s="8"/>
      <c r="L17" s="17" t="s">
        <v>43</v>
      </c>
      <c r="M17" s="8">
        <v>-50</v>
      </c>
    </row>
    <row r="18" spans="1:13" x14ac:dyDescent="0.15">
      <c r="A18" s="5">
        <v>43023</v>
      </c>
      <c r="B18" s="5" t="s">
        <v>10</v>
      </c>
      <c r="C18" s="18"/>
      <c r="D18" s="8"/>
      <c r="F18" s="18"/>
      <c r="G18" s="8"/>
      <c r="I18" s="18"/>
      <c r="J18" s="8"/>
      <c r="L18" s="18"/>
      <c r="M18" s="8"/>
    </row>
    <row r="19" spans="1:13" x14ac:dyDescent="0.15">
      <c r="A19" s="5">
        <v>43024</v>
      </c>
      <c r="B19" s="5" t="s">
        <v>5</v>
      </c>
      <c r="C19" s="18"/>
      <c r="D19" s="8"/>
      <c r="F19" s="18" t="s">
        <v>48</v>
      </c>
      <c r="G19" s="8">
        <v>-1000</v>
      </c>
      <c r="I19" s="18"/>
      <c r="J19" s="8"/>
      <c r="L19" s="18"/>
      <c r="M19" s="8"/>
    </row>
    <row r="20" spans="1:13" x14ac:dyDescent="0.15">
      <c r="A20" s="5">
        <v>43025</v>
      </c>
      <c r="B20" s="5" t="s">
        <v>4</v>
      </c>
      <c r="C20" s="18"/>
      <c r="D20" s="8"/>
      <c r="F20" s="18"/>
      <c r="G20" s="8"/>
      <c r="I20" s="18"/>
      <c r="J20" s="8"/>
      <c r="L20" s="18"/>
      <c r="M20" s="8"/>
    </row>
    <row r="21" spans="1:13" x14ac:dyDescent="0.15">
      <c r="A21" s="5">
        <v>43026</v>
      </c>
      <c r="B21" s="5" t="s">
        <v>6</v>
      </c>
      <c r="C21" s="18"/>
      <c r="D21" s="8"/>
      <c r="F21" s="18"/>
      <c r="G21" s="8"/>
      <c r="I21" s="18"/>
      <c r="J21" s="8"/>
      <c r="L21" s="18" t="s">
        <v>47</v>
      </c>
      <c r="M21" s="8">
        <v>-28</v>
      </c>
    </row>
    <row r="22" spans="1:13" x14ac:dyDescent="0.15">
      <c r="A22" s="5">
        <v>43027</v>
      </c>
      <c r="B22" s="5" t="s">
        <v>7</v>
      </c>
      <c r="C22" s="18"/>
      <c r="D22" s="8"/>
      <c r="F22" s="18"/>
      <c r="G22" s="8"/>
      <c r="I22" s="18"/>
      <c r="J22" s="8"/>
      <c r="L22" s="18"/>
      <c r="M22" s="8"/>
    </row>
    <row r="23" spans="1:13" x14ac:dyDescent="0.15">
      <c r="A23" s="5">
        <v>43028</v>
      </c>
      <c r="B23" s="5" t="s">
        <v>8</v>
      </c>
      <c r="C23" s="18"/>
      <c r="D23" s="8"/>
      <c r="F23" s="18"/>
      <c r="G23" s="8"/>
      <c r="I23" s="18"/>
      <c r="J23" s="8"/>
      <c r="L23" s="17" t="s">
        <v>43</v>
      </c>
      <c r="M23" s="8">
        <v>-20</v>
      </c>
    </row>
    <row r="24" spans="1:13" x14ac:dyDescent="0.15">
      <c r="A24" s="5">
        <v>43029</v>
      </c>
      <c r="B24" s="5" t="s">
        <v>9</v>
      </c>
      <c r="C24" s="18"/>
      <c r="D24" s="8"/>
      <c r="F24" s="18"/>
      <c r="G24" s="8"/>
      <c r="I24" s="18"/>
      <c r="J24" s="8"/>
      <c r="L24" s="18"/>
      <c r="M24" s="8"/>
    </row>
    <row r="25" spans="1:13" x14ac:dyDescent="0.15">
      <c r="A25" s="5">
        <v>43030</v>
      </c>
      <c r="B25" s="5" t="s">
        <v>10</v>
      </c>
      <c r="C25" s="18"/>
      <c r="D25" s="8"/>
      <c r="F25" s="18"/>
      <c r="G25" s="8"/>
      <c r="I25" s="18"/>
      <c r="J25" s="8"/>
      <c r="L25" s="18"/>
      <c r="M25" s="8"/>
    </row>
    <row r="26" spans="1:13" x14ac:dyDescent="0.15">
      <c r="A26" s="5">
        <v>43031</v>
      </c>
      <c r="B26" s="5" t="s">
        <v>5</v>
      </c>
      <c r="C26" s="18"/>
      <c r="D26" s="8"/>
      <c r="F26" s="18"/>
      <c r="G26" s="8"/>
      <c r="I26" s="18"/>
      <c r="J26" s="8"/>
      <c r="L26" s="18"/>
      <c r="M26" s="8"/>
    </row>
    <row r="27" spans="1:13" x14ac:dyDescent="0.15">
      <c r="A27" s="5">
        <v>43032</v>
      </c>
      <c r="B27" s="5" t="s">
        <v>4</v>
      </c>
      <c r="C27" s="18"/>
      <c r="D27" s="8"/>
      <c r="F27" s="18"/>
      <c r="G27" s="8"/>
      <c r="I27" s="18"/>
      <c r="J27" s="8"/>
      <c r="L27" s="18"/>
      <c r="M27" s="8"/>
    </row>
    <row r="28" spans="1:13" x14ac:dyDescent="0.15">
      <c r="A28" s="5">
        <v>43033</v>
      </c>
      <c r="B28" s="5" t="s">
        <v>6</v>
      </c>
      <c r="C28" s="18"/>
      <c r="D28" s="8"/>
      <c r="F28" s="18"/>
      <c r="G28" s="8"/>
      <c r="I28" s="18"/>
      <c r="J28" s="8"/>
      <c r="L28" s="18" t="s">
        <v>46</v>
      </c>
      <c r="M28" s="8">
        <v>-28</v>
      </c>
    </row>
    <row r="29" spans="1:13" x14ac:dyDescent="0.15">
      <c r="A29" s="5">
        <v>43034</v>
      </c>
      <c r="B29" s="5" t="s">
        <v>7</v>
      </c>
      <c r="C29" s="18"/>
      <c r="D29" s="8"/>
      <c r="F29" s="18"/>
      <c r="G29" s="8"/>
      <c r="I29" s="18"/>
      <c r="J29" s="8"/>
      <c r="L29" s="18"/>
      <c r="M29" s="8"/>
    </row>
    <row r="30" spans="1:13" x14ac:dyDescent="0.15">
      <c r="A30" s="5">
        <v>43035</v>
      </c>
      <c r="B30" s="5" t="s">
        <v>8</v>
      </c>
      <c r="C30" s="18"/>
      <c r="D30" s="8"/>
      <c r="F30" s="18"/>
      <c r="G30" s="8"/>
      <c r="I30" s="18"/>
      <c r="J30" s="8"/>
      <c r="L30" s="17" t="s">
        <v>43</v>
      </c>
      <c r="M30" s="8">
        <v>-40</v>
      </c>
    </row>
    <row r="31" spans="1:13" x14ac:dyDescent="0.15">
      <c r="A31" s="5">
        <v>43036</v>
      </c>
      <c r="B31" s="5" t="s">
        <v>9</v>
      </c>
      <c r="C31" s="18"/>
      <c r="D31" s="8"/>
      <c r="F31" s="18"/>
      <c r="G31" s="8"/>
      <c r="I31" s="18"/>
      <c r="J31" s="8"/>
      <c r="L31" s="18"/>
      <c r="M31" s="8"/>
    </row>
    <row r="32" spans="1:13" x14ac:dyDescent="0.15">
      <c r="A32" s="5">
        <v>43037</v>
      </c>
      <c r="B32" s="5" t="s">
        <v>10</v>
      </c>
      <c r="C32" s="18"/>
      <c r="D32" s="8"/>
      <c r="F32" s="18"/>
      <c r="G32" s="8"/>
      <c r="I32" s="18"/>
      <c r="J32" s="8"/>
      <c r="L32" s="18"/>
      <c r="M32" s="8"/>
    </row>
    <row r="33" spans="1:13" x14ac:dyDescent="0.15">
      <c r="A33" s="5">
        <v>43038</v>
      </c>
      <c r="B33" s="5" t="s">
        <v>5</v>
      </c>
      <c r="C33" s="18"/>
      <c r="D33" s="8"/>
      <c r="F33" s="18"/>
      <c r="G33" s="8"/>
      <c r="I33" s="18"/>
      <c r="J33" s="8"/>
      <c r="L33" s="18"/>
      <c r="M33" s="8"/>
    </row>
    <row r="34" spans="1:13" ht="14.25" thickBot="1" x14ac:dyDescent="0.2">
      <c r="A34" s="5">
        <v>43039</v>
      </c>
      <c r="B34" s="5" t="s">
        <v>4</v>
      </c>
      <c r="C34" s="21"/>
      <c r="D34" s="10"/>
      <c r="F34" s="21"/>
      <c r="G34" s="10"/>
      <c r="I34" s="21"/>
      <c r="J34" s="10"/>
      <c r="L34" s="21"/>
      <c r="M34" s="10"/>
    </row>
  </sheetData>
  <mergeCells count="8"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53"/>
  <sheetViews>
    <sheetView topLeftCell="A29" workbookViewId="0">
      <selection activeCell="J20" sqref="J20"/>
    </sheetView>
  </sheetViews>
  <sheetFormatPr defaultRowHeight="13.5" x14ac:dyDescent="0.15"/>
  <cols>
    <col min="1" max="1" width="8.25" bestFit="1" customWidth="1"/>
    <col min="2" max="2" width="5.25" bestFit="1" customWidth="1"/>
    <col min="3" max="3" width="19.125" style="20" bestFit="1" customWidth="1"/>
    <col min="4" max="4" width="8" customWidth="1"/>
    <col min="5" max="5" width="3.625" customWidth="1"/>
    <col min="6" max="6" width="13" bestFit="1" customWidth="1"/>
    <col min="7" max="7" width="6.5" bestFit="1" customWidth="1"/>
    <col min="8" max="8" width="3.625" customWidth="1"/>
    <col min="9" max="9" width="7.125" bestFit="1" customWidth="1"/>
    <col min="11" max="11" width="3.625" customWidth="1"/>
    <col min="12" max="12" width="11" bestFit="1" customWidth="1"/>
    <col min="14" max="14" width="3.625" customWidth="1"/>
    <col min="15" max="15" width="11.875" bestFit="1" customWidth="1"/>
  </cols>
  <sheetData>
    <row r="1" spans="1:16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  <c r="O1" s="44" t="s">
        <v>37</v>
      </c>
      <c r="P1" s="45"/>
    </row>
    <row r="2" spans="1:16" x14ac:dyDescent="0.15">
      <c r="A2" s="4" t="s">
        <v>14</v>
      </c>
      <c r="B2" s="4" t="s">
        <v>3</v>
      </c>
      <c r="C2" s="42">
        <f>SUM(D3:D53)</f>
        <v>117.7</v>
      </c>
      <c r="D2" s="43"/>
      <c r="E2" s="3"/>
      <c r="F2" s="42">
        <f>SUM(G3:G53)</f>
        <v>948.3</v>
      </c>
      <c r="G2" s="43"/>
      <c r="H2" s="14"/>
      <c r="I2" s="42">
        <f>SUM(J3:J53)</f>
        <v>24</v>
      </c>
      <c r="J2" s="43"/>
      <c r="K2" s="14"/>
      <c r="L2" s="42">
        <f>SUM(M3:M53)</f>
        <v>47</v>
      </c>
      <c r="M2" s="43"/>
      <c r="O2" s="42">
        <f>SUM(P3:P53)</f>
        <v>0</v>
      </c>
      <c r="P2" s="43"/>
    </row>
    <row r="3" spans="1:16" x14ac:dyDescent="0.15">
      <c r="A3" s="5">
        <v>42979</v>
      </c>
      <c r="B3" s="5" t="s">
        <v>8</v>
      </c>
      <c r="C3" s="17" t="s">
        <v>24</v>
      </c>
      <c r="D3" s="8">
        <v>12</v>
      </c>
      <c r="F3" s="11"/>
      <c r="G3" s="8"/>
      <c r="H3" s="15"/>
      <c r="I3" s="11"/>
      <c r="J3" s="8"/>
      <c r="K3" s="15"/>
      <c r="L3" s="11"/>
      <c r="M3" s="8"/>
      <c r="O3" s="11"/>
      <c r="P3" s="8"/>
    </row>
    <row r="4" spans="1:16" x14ac:dyDescent="0.15">
      <c r="A4" s="5">
        <v>42980</v>
      </c>
      <c r="B4" s="5" t="s">
        <v>9</v>
      </c>
      <c r="C4" s="17"/>
      <c r="D4" s="8"/>
      <c r="F4" s="11" t="s">
        <v>21</v>
      </c>
      <c r="G4" s="8">
        <v>15.5</v>
      </c>
      <c r="H4" s="15"/>
      <c r="I4" s="11"/>
      <c r="J4" s="8"/>
      <c r="K4" s="15"/>
      <c r="L4" s="11"/>
      <c r="M4" s="8"/>
      <c r="O4" s="11"/>
      <c r="P4" s="8"/>
    </row>
    <row r="5" spans="1:16" x14ac:dyDescent="0.15">
      <c r="A5" s="5">
        <v>42981</v>
      </c>
      <c r="B5" s="5" t="s">
        <v>10</v>
      </c>
      <c r="C5" s="17"/>
      <c r="D5" s="8"/>
      <c r="F5" s="11"/>
      <c r="G5" s="8"/>
      <c r="H5" s="15"/>
      <c r="I5" s="11"/>
      <c r="J5" s="8"/>
      <c r="K5" s="15"/>
      <c r="L5" s="11"/>
      <c r="M5" s="8"/>
      <c r="O5" s="11"/>
      <c r="P5" s="8"/>
    </row>
    <row r="6" spans="1:16" x14ac:dyDescent="0.15">
      <c r="A6" s="5">
        <v>42982</v>
      </c>
      <c r="B6" s="5" t="s">
        <v>5</v>
      </c>
      <c r="C6" s="17" t="s">
        <v>26</v>
      </c>
      <c r="D6" s="8">
        <v>7.5</v>
      </c>
      <c r="F6" s="11" t="s">
        <v>25</v>
      </c>
      <c r="G6" s="8">
        <v>6</v>
      </c>
      <c r="H6" s="15"/>
      <c r="I6" s="11"/>
      <c r="J6" s="8"/>
      <c r="K6" s="15"/>
      <c r="L6" s="11"/>
      <c r="M6" s="8"/>
      <c r="O6" s="11"/>
      <c r="P6" s="8"/>
    </row>
    <row r="7" spans="1:16" x14ac:dyDescent="0.15">
      <c r="A7" s="5">
        <v>42983</v>
      </c>
      <c r="B7" s="5" t="s">
        <v>4</v>
      </c>
      <c r="C7" s="17"/>
      <c r="D7" s="8"/>
      <c r="F7" s="11" t="s">
        <v>19</v>
      </c>
      <c r="G7" s="8">
        <v>-21.5</v>
      </c>
      <c r="H7" s="15"/>
      <c r="I7" s="11"/>
      <c r="J7" s="8"/>
      <c r="K7" s="15"/>
      <c r="L7" s="11"/>
      <c r="M7" s="8"/>
      <c r="O7" s="11"/>
      <c r="P7" s="8"/>
    </row>
    <row r="8" spans="1:16" x14ac:dyDescent="0.15">
      <c r="A8" s="5"/>
      <c r="B8" s="5"/>
      <c r="C8" s="17"/>
      <c r="D8" s="8"/>
      <c r="F8" s="11" t="s">
        <v>25</v>
      </c>
      <c r="G8" s="8">
        <v>10</v>
      </c>
      <c r="H8" s="15"/>
      <c r="I8" s="11"/>
      <c r="J8" s="8"/>
      <c r="K8" s="15"/>
      <c r="L8" s="11"/>
      <c r="M8" s="8"/>
      <c r="O8" s="11"/>
      <c r="P8" s="8"/>
    </row>
    <row r="9" spans="1:16" x14ac:dyDescent="0.15">
      <c r="A9" s="5">
        <v>42984</v>
      </c>
      <c r="B9" s="5" t="s">
        <v>6</v>
      </c>
      <c r="C9" s="18" t="s">
        <v>21</v>
      </c>
      <c r="D9" s="8">
        <v>7</v>
      </c>
      <c r="F9" s="11" t="s">
        <v>21</v>
      </c>
      <c r="G9" s="8">
        <v>13</v>
      </c>
      <c r="H9" s="15"/>
      <c r="I9" s="11"/>
      <c r="J9" s="8"/>
      <c r="K9" s="15"/>
      <c r="L9" s="11"/>
      <c r="M9" s="8"/>
      <c r="O9" s="11"/>
      <c r="P9" s="8"/>
    </row>
    <row r="10" spans="1:16" x14ac:dyDescent="0.15">
      <c r="A10" s="5">
        <v>42985</v>
      </c>
      <c r="B10" s="5" t="s">
        <v>7</v>
      </c>
      <c r="C10" s="17" t="s">
        <v>26</v>
      </c>
      <c r="D10" s="8">
        <v>7</v>
      </c>
      <c r="F10" s="11" t="s">
        <v>25</v>
      </c>
      <c r="G10" s="8">
        <v>10</v>
      </c>
      <c r="H10" s="15"/>
      <c r="I10" s="11"/>
      <c r="J10" s="8"/>
      <c r="K10" s="15"/>
      <c r="L10" s="11"/>
      <c r="M10" s="8"/>
      <c r="O10" s="11"/>
      <c r="P10" s="8"/>
    </row>
    <row r="11" spans="1:16" x14ac:dyDescent="0.15">
      <c r="A11" s="5">
        <v>42986</v>
      </c>
      <c r="B11" s="5" t="s">
        <v>8</v>
      </c>
      <c r="C11" s="17"/>
      <c r="D11" s="8"/>
      <c r="F11" s="11" t="s">
        <v>25</v>
      </c>
      <c r="G11" s="8">
        <v>10</v>
      </c>
      <c r="H11" s="15"/>
      <c r="I11" s="11"/>
      <c r="J11" s="8"/>
      <c r="K11" s="15"/>
      <c r="L11" s="11"/>
      <c r="M11" s="8"/>
      <c r="O11" s="11"/>
      <c r="P11" s="8"/>
    </row>
    <row r="12" spans="1:16" x14ac:dyDescent="0.15">
      <c r="A12" s="5"/>
      <c r="B12" s="5"/>
      <c r="C12" s="17"/>
      <c r="D12" s="8"/>
      <c r="F12" s="11" t="s">
        <v>24</v>
      </c>
      <c r="G12" s="8">
        <v>12</v>
      </c>
      <c r="H12" s="15"/>
      <c r="I12" s="11"/>
      <c r="J12" s="8"/>
      <c r="K12" s="15"/>
      <c r="L12" s="11"/>
      <c r="M12" s="8"/>
      <c r="O12" s="11"/>
      <c r="P12" s="8"/>
    </row>
    <row r="13" spans="1:16" x14ac:dyDescent="0.15">
      <c r="A13" s="5">
        <v>42987</v>
      </c>
      <c r="B13" s="5" t="s">
        <v>9</v>
      </c>
      <c r="C13" s="17"/>
      <c r="D13" s="8"/>
      <c r="F13" s="11"/>
      <c r="G13" s="8"/>
      <c r="H13" s="15"/>
      <c r="I13" s="11"/>
      <c r="J13" s="8"/>
      <c r="K13" s="15"/>
      <c r="L13" s="11"/>
      <c r="M13" s="8"/>
      <c r="O13" s="11"/>
      <c r="P13" s="8"/>
    </row>
    <row r="14" spans="1:16" x14ac:dyDescent="0.15">
      <c r="A14" s="5">
        <v>42988</v>
      </c>
      <c r="B14" s="5" t="s">
        <v>10</v>
      </c>
      <c r="C14" s="17"/>
      <c r="D14" s="8"/>
      <c r="F14" s="11"/>
      <c r="G14" s="8"/>
      <c r="H14" s="15"/>
      <c r="I14" s="11"/>
      <c r="J14" s="8"/>
      <c r="K14" s="15"/>
      <c r="L14" s="11"/>
      <c r="M14" s="8"/>
      <c r="O14" s="11"/>
      <c r="P14" s="8"/>
    </row>
    <row r="15" spans="1:16" x14ac:dyDescent="0.15">
      <c r="A15" s="5">
        <v>42989</v>
      </c>
      <c r="B15" s="5" t="s">
        <v>5</v>
      </c>
      <c r="C15" s="18" t="s">
        <v>24</v>
      </c>
      <c r="D15" s="8">
        <v>13</v>
      </c>
      <c r="F15" s="11"/>
      <c r="G15" s="8"/>
      <c r="H15" s="15"/>
      <c r="I15" s="11"/>
      <c r="J15" s="8"/>
      <c r="K15" s="15"/>
      <c r="L15" s="11"/>
      <c r="M15" s="8"/>
      <c r="O15" s="11"/>
      <c r="P15" s="8"/>
    </row>
    <row r="16" spans="1:16" x14ac:dyDescent="0.15">
      <c r="A16" s="5"/>
      <c r="B16" s="5"/>
      <c r="C16" s="18" t="s">
        <v>21</v>
      </c>
      <c r="D16" s="8">
        <v>14</v>
      </c>
      <c r="F16" s="11"/>
      <c r="G16" s="8"/>
      <c r="H16" s="15"/>
      <c r="I16" s="11"/>
      <c r="J16" s="8"/>
      <c r="K16" s="15"/>
      <c r="L16" s="11" t="s">
        <v>21</v>
      </c>
      <c r="M16" s="8">
        <v>14</v>
      </c>
      <c r="O16" s="11"/>
      <c r="P16" s="8"/>
    </row>
    <row r="17" spans="1:16" x14ac:dyDescent="0.15">
      <c r="A17" s="5">
        <v>42990</v>
      </c>
      <c r="B17" s="5" t="s">
        <v>4</v>
      </c>
      <c r="C17" s="18" t="s">
        <v>29</v>
      </c>
      <c r="D17" s="8">
        <v>-8</v>
      </c>
      <c r="F17" s="11" t="s">
        <v>15</v>
      </c>
      <c r="G17" s="8">
        <v>10</v>
      </c>
      <c r="H17" s="15"/>
      <c r="I17" s="11"/>
      <c r="J17" s="8"/>
      <c r="K17" s="15"/>
      <c r="L17" s="11"/>
      <c r="M17" s="8"/>
      <c r="O17" s="11"/>
      <c r="P17" s="8"/>
    </row>
    <row r="18" spans="1:16" x14ac:dyDescent="0.15">
      <c r="A18" s="5"/>
      <c r="B18" s="5"/>
      <c r="C18" s="18" t="s">
        <v>21</v>
      </c>
      <c r="D18" s="8">
        <v>10</v>
      </c>
      <c r="F18" s="11"/>
      <c r="G18" s="8"/>
      <c r="H18" s="15"/>
      <c r="I18" s="11"/>
      <c r="J18" s="8"/>
      <c r="K18" s="15"/>
      <c r="L18" s="11"/>
      <c r="M18" s="8"/>
      <c r="O18" s="11"/>
      <c r="P18" s="8"/>
    </row>
    <row r="19" spans="1:16" x14ac:dyDescent="0.15">
      <c r="A19" s="5">
        <v>42991</v>
      </c>
      <c r="B19" s="5" t="s">
        <v>6</v>
      </c>
      <c r="C19" s="18" t="s">
        <v>21</v>
      </c>
      <c r="D19" s="8">
        <v>14</v>
      </c>
      <c r="F19" s="11" t="s">
        <v>27</v>
      </c>
      <c r="G19" s="8">
        <v>72</v>
      </c>
      <c r="H19" s="15"/>
      <c r="I19" s="11"/>
      <c r="J19" s="8"/>
      <c r="K19" s="15"/>
      <c r="L19" s="11"/>
      <c r="M19" s="8"/>
      <c r="O19" s="11"/>
      <c r="P19" s="8"/>
    </row>
    <row r="20" spans="1:16" x14ac:dyDescent="0.15">
      <c r="A20" s="5"/>
      <c r="B20" s="5"/>
      <c r="C20" s="18" t="s">
        <v>30</v>
      </c>
      <c r="D20" s="8">
        <v>-100</v>
      </c>
      <c r="F20" s="11" t="s">
        <v>28</v>
      </c>
      <c r="G20" s="8">
        <v>-37</v>
      </c>
      <c r="H20" s="15"/>
      <c r="I20" s="11"/>
      <c r="J20" s="8"/>
      <c r="K20" s="15"/>
      <c r="L20" s="11"/>
      <c r="M20" s="8"/>
      <c r="O20" s="11"/>
      <c r="P20" s="8"/>
    </row>
    <row r="21" spans="1:16" x14ac:dyDescent="0.15">
      <c r="A21" s="5"/>
      <c r="B21" s="5"/>
      <c r="C21" s="17"/>
      <c r="D21" s="8"/>
      <c r="F21" s="11" t="s">
        <v>21</v>
      </c>
      <c r="G21" s="8">
        <v>11</v>
      </c>
      <c r="H21" s="15"/>
      <c r="I21" s="11"/>
      <c r="J21" s="8"/>
      <c r="K21" s="15"/>
      <c r="L21" s="11"/>
      <c r="M21" s="8"/>
      <c r="O21" s="11"/>
      <c r="P21" s="8"/>
    </row>
    <row r="22" spans="1:16" x14ac:dyDescent="0.15">
      <c r="A22" s="5">
        <v>42992</v>
      </c>
      <c r="B22" s="5" t="s">
        <v>7</v>
      </c>
      <c r="C22" s="17"/>
      <c r="D22" s="8"/>
      <c r="F22" s="11" t="s">
        <v>31</v>
      </c>
      <c r="G22" s="8">
        <v>30</v>
      </c>
      <c r="H22" s="15"/>
      <c r="I22" s="11"/>
      <c r="J22" s="8"/>
      <c r="K22" s="15"/>
      <c r="L22" s="11"/>
      <c r="M22" s="8"/>
      <c r="O22" s="11"/>
      <c r="P22" s="8"/>
    </row>
    <row r="23" spans="1:16" x14ac:dyDescent="0.15">
      <c r="A23" s="5"/>
      <c r="B23" s="5"/>
      <c r="C23" s="17"/>
      <c r="D23" s="8"/>
      <c r="F23" s="11" t="s">
        <v>21</v>
      </c>
      <c r="G23" s="8">
        <v>9</v>
      </c>
      <c r="H23" s="15"/>
      <c r="I23" s="11"/>
      <c r="J23" s="8"/>
      <c r="K23" s="15"/>
      <c r="L23" s="11"/>
      <c r="M23" s="8"/>
      <c r="O23" s="11"/>
      <c r="P23" s="8"/>
    </row>
    <row r="24" spans="1:16" x14ac:dyDescent="0.15">
      <c r="A24" s="5"/>
      <c r="B24" s="5"/>
      <c r="C24" s="17"/>
      <c r="D24" s="8"/>
      <c r="F24" s="11" t="s">
        <v>32</v>
      </c>
      <c r="G24" s="8">
        <v>145.80000000000001</v>
      </c>
      <c r="H24" s="15"/>
      <c r="I24" s="11"/>
      <c r="J24" s="8"/>
      <c r="K24" s="15"/>
      <c r="L24" s="11"/>
      <c r="M24" s="8"/>
      <c r="O24" s="11"/>
      <c r="P24" s="8"/>
    </row>
    <row r="25" spans="1:16" x14ac:dyDescent="0.15">
      <c r="A25" s="5">
        <v>42993</v>
      </c>
      <c r="B25" s="5" t="s">
        <v>8</v>
      </c>
      <c r="C25" s="11" t="s">
        <v>24</v>
      </c>
      <c r="D25" s="8">
        <v>14</v>
      </c>
      <c r="F25" s="11" t="s">
        <v>31</v>
      </c>
      <c r="G25" s="8">
        <v>30</v>
      </c>
      <c r="H25" s="15"/>
      <c r="I25" s="11"/>
      <c r="J25" s="8"/>
      <c r="K25" s="15"/>
      <c r="L25" s="11"/>
      <c r="M25" s="8"/>
      <c r="O25" s="11"/>
      <c r="P25" s="8"/>
    </row>
    <row r="26" spans="1:16" x14ac:dyDescent="0.15">
      <c r="A26" s="5"/>
      <c r="B26" s="5"/>
      <c r="C26" s="17"/>
      <c r="D26" s="8"/>
      <c r="F26" s="11" t="s">
        <v>24</v>
      </c>
      <c r="G26" s="8">
        <v>14</v>
      </c>
      <c r="H26" s="15"/>
      <c r="I26" s="11"/>
      <c r="J26" s="8"/>
      <c r="K26" s="15"/>
      <c r="L26" s="11"/>
      <c r="M26" s="8"/>
      <c r="O26" s="11"/>
      <c r="P26" s="8"/>
    </row>
    <row r="27" spans="1:16" x14ac:dyDescent="0.15">
      <c r="A27" s="5">
        <v>42994</v>
      </c>
      <c r="B27" s="5" t="s">
        <v>9</v>
      </c>
      <c r="C27" s="17"/>
      <c r="D27" s="8"/>
      <c r="F27" s="11"/>
      <c r="G27" s="8"/>
      <c r="H27" s="15"/>
      <c r="I27" s="11"/>
      <c r="J27" s="8"/>
      <c r="K27" s="15"/>
      <c r="L27" s="11"/>
      <c r="M27" s="8"/>
      <c r="O27" s="11"/>
      <c r="P27" s="8"/>
    </row>
    <row r="28" spans="1:16" x14ac:dyDescent="0.15">
      <c r="A28" s="5">
        <v>42995</v>
      </c>
      <c r="B28" s="5" t="s">
        <v>10</v>
      </c>
      <c r="C28" s="17"/>
      <c r="D28" s="8"/>
      <c r="F28" s="11"/>
      <c r="G28" s="8"/>
      <c r="H28" s="15"/>
      <c r="I28" s="11"/>
      <c r="J28" s="8"/>
      <c r="K28" s="15"/>
      <c r="L28" s="11"/>
      <c r="M28" s="8"/>
      <c r="O28" s="11"/>
      <c r="P28" s="8"/>
    </row>
    <row r="29" spans="1:16" x14ac:dyDescent="0.15">
      <c r="A29" s="5">
        <v>42996</v>
      </c>
      <c r="B29" s="5" t="s">
        <v>5</v>
      </c>
      <c r="C29" s="17" t="s">
        <v>33</v>
      </c>
      <c r="D29" s="8">
        <v>19</v>
      </c>
      <c r="F29" s="11"/>
      <c r="G29" s="8"/>
      <c r="H29" s="15"/>
      <c r="I29" s="11"/>
      <c r="J29" s="8"/>
      <c r="K29" s="15"/>
      <c r="L29" s="11"/>
      <c r="M29" s="8"/>
      <c r="O29" s="11"/>
      <c r="P29" s="8"/>
    </row>
    <row r="30" spans="1:16" x14ac:dyDescent="0.15">
      <c r="A30" s="5">
        <v>42997</v>
      </c>
      <c r="B30" s="5" t="s">
        <v>4</v>
      </c>
      <c r="C30" s="18" t="s">
        <v>21</v>
      </c>
      <c r="D30" s="8">
        <v>7</v>
      </c>
      <c r="F30" s="11"/>
      <c r="G30" s="8"/>
      <c r="H30" s="15"/>
      <c r="I30" s="11"/>
      <c r="J30" s="8"/>
      <c r="K30" s="15"/>
      <c r="L30" s="11"/>
      <c r="M30" s="8"/>
      <c r="O30" s="11"/>
      <c r="P30" s="8"/>
    </row>
    <row r="31" spans="1:16" x14ac:dyDescent="0.15">
      <c r="A31" s="5">
        <v>42998</v>
      </c>
      <c r="B31" s="5" t="s">
        <v>6</v>
      </c>
      <c r="C31" s="18" t="s">
        <v>21</v>
      </c>
      <c r="D31" s="8">
        <v>7</v>
      </c>
      <c r="F31" s="11" t="s">
        <v>32</v>
      </c>
      <c r="G31" s="8">
        <v>129</v>
      </c>
      <c r="H31" s="15"/>
      <c r="I31" s="11"/>
      <c r="J31" s="8"/>
      <c r="K31" s="15"/>
      <c r="L31" s="11"/>
      <c r="M31" s="8"/>
      <c r="O31" s="11"/>
      <c r="P31" s="8"/>
    </row>
    <row r="32" spans="1:16" x14ac:dyDescent="0.15">
      <c r="A32" s="5">
        <v>42999</v>
      </c>
      <c r="B32" s="5" t="s">
        <v>7</v>
      </c>
      <c r="C32" s="18" t="s">
        <v>24</v>
      </c>
      <c r="D32" s="8">
        <v>13</v>
      </c>
      <c r="F32" s="18" t="s">
        <v>24</v>
      </c>
      <c r="G32" s="8">
        <v>13</v>
      </c>
      <c r="H32" s="15"/>
      <c r="I32" s="11"/>
      <c r="J32" s="8"/>
      <c r="K32" s="15"/>
      <c r="L32" s="11"/>
      <c r="M32" s="8"/>
      <c r="O32" s="11"/>
      <c r="P32" s="8"/>
    </row>
    <row r="33" spans="1:16" x14ac:dyDescent="0.15">
      <c r="A33" s="5"/>
      <c r="B33" s="5"/>
      <c r="C33" s="18" t="s">
        <v>21</v>
      </c>
      <c r="D33" s="8">
        <v>8</v>
      </c>
      <c r="F33" s="18" t="s">
        <v>21</v>
      </c>
      <c r="G33" s="8">
        <v>13</v>
      </c>
      <c r="H33" s="15"/>
      <c r="I33" s="11"/>
      <c r="J33" s="8"/>
      <c r="K33" s="15"/>
      <c r="L33" s="11"/>
      <c r="M33" s="8"/>
      <c r="O33" s="11"/>
      <c r="P33" s="8"/>
    </row>
    <row r="34" spans="1:16" x14ac:dyDescent="0.15">
      <c r="A34" s="5"/>
      <c r="B34" s="5"/>
      <c r="C34" s="18"/>
      <c r="D34" s="8"/>
      <c r="F34" s="11" t="s">
        <v>32</v>
      </c>
      <c r="G34" s="8">
        <v>132</v>
      </c>
      <c r="H34" s="15"/>
      <c r="I34" s="11"/>
      <c r="J34" s="8"/>
      <c r="K34" s="15"/>
      <c r="L34" s="11"/>
      <c r="M34" s="8"/>
      <c r="O34" s="11"/>
      <c r="P34" s="8"/>
    </row>
    <row r="35" spans="1:16" x14ac:dyDescent="0.15">
      <c r="A35" s="5"/>
      <c r="B35" s="5"/>
      <c r="C35" s="18"/>
      <c r="D35" s="8"/>
      <c r="F35" s="11" t="s">
        <v>31</v>
      </c>
      <c r="G35" s="8">
        <v>26</v>
      </c>
      <c r="H35" s="15"/>
      <c r="I35" s="11"/>
      <c r="J35" s="8"/>
      <c r="K35" s="15"/>
      <c r="L35" s="11"/>
      <c r="M35" s="8"/>
      <c r="O35" s="11"/>
      <c r="P35" s="8"/>
    </row>
    <row r="36" spans="1:16" x14ac:dyDescent="0.15">
      <c r="A36" s="5">
        <v>43000</v>
      </c>
      <c r="B36" s="5" t="s">
        <v>8</v>
      </c>
      <c r="C36" s="17" t="s">
        <v>34</v>
      </c>
      <c r="D36" s="8">
        <v>2</v>
      </c>
      <c r="F36" s="11"/>
      <c r="G36" s="8"/>
      <c r="H36" s="15"/>
      <c r="I36" s="11"/>
      <c r="J36" s="8"/>
      <c r="K36" s="15"/>
      <c r="L36" s="11"/>
      <c r="M36" s="8"/>
      <c r="O36" s="11"/>
      <c r="P36" s="8"/>
    </row>
    <row r="37" spans="1:16" x14ac:dyDescent="0.15">
      <c r="A37" s="5">
        <v>43001</v>
      </c>
      <c r="B37" s="5" t="s">
        <v>9</v>
      </c>
      <c r="C37" s="17"/>
      <c r="D37" s="8"/>
      <c r="F37" s="11" t="s">
        <v>32</v>
      </c>
      <c r="G37" s="8">
        <v>111</v>
      </c>
      <c r="H37" s="15"/>
      <c r="I37" s="11"/>
      <c r="J37" s="8"/>
      <c r="K37" s="15"/>
      <c r="L37" s="11" t="s">
        <v>42</v>
      </c>
      <c r="M37" s="8">
        <v>-4</v>
      </c>
      <c r="O37" s="11"/>
      <c r="P37" s="8"/>
    </row>
    <row r="38" spans="1:16" x14ac:dyDescent="0.15">
      <c r="A38" s="5"/>
      <c r="B38" s="5"/>
      <c r="C38" s="17"/>
      <c r="D38" s="8"/>
      <c r="F38" s="11" t="s">
        <v>32</v>
      </c>
      <c r="G38" s="8">
        <v>56</v>
      </c>
      <c r="H38" s="15"/>
      <c r="I38" s="11"/>
      <c r="J38" s="8"/>
      <c r="K38" s="15"/>
      <c r="L38" s="11"/>
      <c r="M38" s="8"/>
      <c r="O38" s="11"/>
      <c r="P38" s="8"/>
    </row>
    <row r="39" spans="1:16" x14ac:dyDescent="0.15">
      <c r="A39" s="5"/>
      <c r="B39" s="5"/>
      <c r="C39" s="17"/>
      <c r="D39" s="8"/>
      <c r="F39" s="11" t="s">
        <v>32</v>
      </c>
      <c r="G39" s="8">
        <v>30</v>
      </c>
      <c r="H39" s="15"/>
      <c r="I39" s="11"/>
      <c r="J39" s="8"/>
      <c r="K39" s="15"/>
      <c r="L39" s="11"/>
      <c r="M39" s="8"/>
      <c r="O39" s="11"/>
      <c r="P39" s="8"/>
    </row>
    <row r="40" spans="1:16" x14ac:dyDescent="0.15">
      <c r="A40" s="5"/>
      <c r="B40" s="5"/>
      <c r="C40" s="17"/>
      <c r="D40" s="8"/>
      <c r="F40" s="18" t="s">
        <v>21</v>
      </c>
      <c r="G40" s="8">
        <v>10</v>
      </c>
      <c r="H40" s="15"/>
      <c r="I40" s="11"/>
      <c r="J40" s="8"/>
      <c r="K40" s="15"/>
      <c r="L40" s="11"/>
      <c r="M40" s="8"/>
      <c r="O40" s="11"/>
      <c r="P40" s="8"/>
    </row>
    <row r="41" spans="1:16" x14ac:dyDescent="0.15">
      <c r="A41" s="5"/>
      <c r="B41" s="5"/>
      <c r="C41" s="17"/>
      <c r="D41" s="8"/>
      <c r="F41" s="11" t="s">
        <v>31</v>
      </c>
      <c r="G41" s="8">
        <v>27</v>
      </c>
      <c r="H41" s="15"/>
      <c r="I41" s="11"/>
      <c r="J41" s="8"/>
      <c r="K41" s="15"/>
      <c r="L41" s="11"/>
      <c r="M41" s="8"/>
      <c r="O41" s="11"/>
      <c r="P41" s="8"/>
    </row>
    <row r="42" spans="1:16" x14ac:dyDescent="0.15">
      <c r="A42" s="5">
        <v>43002</v>
      </c>
      <c r="B42" s="5" t="s">
        <v>10</v>
      </c>
      <c r="C42" s="17"/>
      <c r="D42" s="8"/>
      <c r="F42" s="11"/>
      <c r="G42" s="8"/>
      <c r="H42" s="15"/>
      <c r="I42" s="11"/>
      <c r="J42" s="8"/>
      <c r="K42" s="15"/>
      <c r="L42" s="11"/>
      <c r="M42" s="8"/>
      <c r="O42" s="11"/>
      <c r="P42" s="8"/>
    </row>
    <row r="43" spans="1:16" x14ac:dyDescent="0.15">
      <c r="A43" s="5">
        <v>43003</v>
      </c>
      <c r="B43" s="5" t="s">
        <v>5</v>
      </c>
      <c r="C43" s="17" t="s">
        <v>35</v>
      </c>
      <c r="D43" s="8">
        <v>5.5</v>
      </c>
      <c r="F43" s="18" t="s">
        <v>21</v>
      </c>
      <c r="G43" s="8">
        <v>10</v>
      </c>
      <c r="H43" s="15"/>
      <c r="I43" s="18" t="s">
        <v>21</v>
      </c>
      <c r="J43" s="8">
        <v>15</v>
      </c>
      <c r="K43" s="15"/>
      <c r="L43" s="18" t="s">
        <v>21</v>
      </c>
      <c r="M43" s="8">
        <v>29</v>
      </c>
      <c r="O43" s="18"/>
      <c r="P43" s="8"/>
    </row>
    <row r="44" spans="1:16" x14ac:dyDescent="0.15">
      <c r="A44" s="5"/>
      <c r="B44" s="5"/>
      <c r="C44" s="18" t="s">
        <v>21</v>
      </c>
      <c r="D44" s="8">
        <v>7</v>
      </c>
      <c r="F44" s="11"/>
      <c r="G44" s="8"/>
      <c r="H44" s="15"/>
      <c r="I44" s="11"/>
      <c r="J44" s="8"/>
      <c r="K44" s="15"/>
      <c r="L44" s="11"/>
      <c r="M44" s="8"/>
      <c r="O44" s="11"/>
      <c r="P44" s="8"/>
    </row>
    <row r="45" spans="1:16" x14ac:dyDescent="0.15">
      <c r="A45" s="5"/>
      <c r="B45" s="5"/>
      <c r="C45" s="18" t="s">
        <v>36</v>
      </c>
      <c r="D45" s="8">
        <v>-8</v>
      </c>
      <c r="F45" s="11"/>
      <c r="G45" s="8"/>
      <c r="H45" s="15"/>
      <c r="I45" s="11"/>
      <c r="J45" s="8"/>
      <c r="K45" s="15"/>
      <c r="L45" s="11"/>
      <c r="M45" s="8"/>
      <c r="O45" s="11"/>
      <c r="P45" s="8"/>
    </row>
    <row r="46" spans="1:16" x14ac:dyDescent="0.15">
      <c r="A46" s="5">
        <v>43004</v>
      </c>
      <c r="B46" s="5" t="s">
        <v>4</v>
      </c>
      <c r="C46" s="17"/>
      <c r="D46" s="8"/>
      <c r="F46" s="18" t="s">
        <v>21</v>
      </c>
      <c r="G46" s="8">
        <v>10</v>
      </c>
      <c r="H46" s="15"/>
      <c r="I46" s="11"/>
      <c r="J46" s="8"/>
      <c r="K46" s="15"/>
      <c r="L46" s="11"/>
      <c r="M46" s="8"/>
      <c r="O46" s="18" t="s">
        <v>21</v>
      </c>
      <c r="P46" s="8">
        <v>10</v>
      </c>
    </row>
    <row r="47" spans="1:16" x14ac:dyDescent="0.15">
      <c r="A47" s="5"/>
      <c r="B47" s="5"/>
      <c r="C47" s="17"/>
      <c r="D47" s="8"/>
      <c r="F47" s="18" t="s">
        <v>39</v>
      </c>
      <c r="G47" s="8">
        <v>27.5</v>
      </c>
      <c r="H47" s="15"/>
      <c r="I47" s="11"/>
      <c r="J47" s="8"/>
      <c r="K47" s="15"/>
      <c r="L47" s="11"/>
      <c r="M47" s="8"/>
      <c r="O47" s="18" t="s">
        <v>38</v>
      </c>
      <c r="P47" s="8">
        <v>-19</v>
      </c>
    </row>
    <row r="48" spans="1:16" x14ac:dyDescent="0.15">
      <c r="A48" s="5">
        <v>43005</v>
      </c>
      <c r="B48" s="5" t="s">
        <v>6</v>
      </c>
      <c r="C48" s="17" t="s">
        <v>40</v>
      </c>
      <c r="D48" s="8">
        <v>24.5</v>
      </c>
      <c r="F48" s="18" t="s">
        <v>21</v>
      </c>
      <c r="G48" s="8">
        <v>10</v>
      </c>
      <c r="H48" s="15"/>
      <c r="I48" s="11"/>
      <c r="J48" s="8"/>
      <c r="K48" s="15"/>
      <c r="L48" s="11"/>
      <c r="M48" s="8"/>
      <c r="O48" s="18" t="s">
        <v>21</v>
      </c>
      <c r="P48" s="8">
        <v>9</v>
      </c>
    </row>
    <row r="49" spans="1:16" x14ac:dyDescent="0.15">
      <c r="A49" s="5"/>
      <c r="B49" s="5"/>
      <c r="C49" s="18" t="s">
        <v>21</v>
      </c>
      <c r="D49" s="8">
        <v>7</v>
      </c>
      <c r="F49" s="18"/>
      <c r="G49" s="8"/>
      <c r="H49" s="15"/>
      <c r="I49" s="11"/>
      <c r="J49" s="8"/>
      <c r="K49" s="15"/>
      <c r="L49" s="11"/>
      <c r="M49" s="8"/>
      <c r="O49" s="18"/>
      <c r="P49" s="8"/>
    </row>
    <row r="50" spans="1:16" x14ac:dyDescent="0.15">
      <c r="A50" s="5">
        <v>43006</v>
      </c>
      <c r="B50" s="5" t="s">
        <v>7</v>
      </c>
      <c r="C50" s="17" t="s">
        <v>40</v>
      </c>
      <c r="D50" s="8">
        <v>27.2</v>
      </c>
      <c r="F50" s="18" t="s">
        <v>21</v>
      </c>
      <c r="G50" s="8">
        <v>16</v>
      </c>
      <c r="H50" s="15"/>
      <c r="I50" s="11"/>
      <c r="J50" s="8"/>
      <c r="K50" s="15"/>
      <c r="L50" s="18" t="s">
        <v>21</v>
      </c>
      <c r="M50" s="8">
        <v>16</v>
      </c>
      <c r="O50" s="11"/>
      <c r="P50" s="8"/>
    </row>
    <row r="51" spans="1:16" x14ac:dyDescent="0.15">
      <c r="A51" s="5">
        <v>43007</v>
      </c>
      <c r="B51" s="5" t="s">
        <v>8</v>
      </c>
      <c r="C51" s="17" t="s">
        <v>18</v>
      </c>
      <c r="D51" s="8">
        <v>8</v>
      </c>
      <c r="F51" s="11" t="s">
        <v>41</v>
      </c>
      <c r="G51" s="8">
        <v>-25</v>
      </c>
      <c r="H51" s="15"/>
      <c r="I51" s="18" t="s">
        <v>21</v>
      </c>
      <c r="J51" s="8">
        <v>9</v>
      </c>
      <c r="K51" s="15"/>
      <c r="L51" s="11"/>
      <c r="M51" s="8"/>
      <c r="O51" s="11"/>
      <c r="P51" s="8"/>
    </row>
    <row r="52" spans="1:16" x14ac:dyDescent="0.15">
      <c r="A52" s="5"/>
      <c r="B52" s="5"/>
      <c r="C52" s="17"/>
      <c r="D52" s="8"/>
      <c r="F52" s="18" t="s">
        <v>21</v>
      </c>
      <c r="G52" s="8">
        <v>13</v>
      </c>
      <c r="H52" s="15"/>
      <c r="I52" s="11"/>
      <c r="J52" s="8"/>
      <c r="K52" s="15"/>
      <c r="L52" s="11"/>
      <c r="M52" s="8"/>
      <c r="O52" s="11"/>
      <c r="P52" s="8"/>
    </row>
    <row r="53" spans="1:16" ht="14.25" thickBot="1" x14ac:dyDescent="0.2">
      <c r="A53" s="5">
        <v>43008</v>
      </c>
      <c r="B53" s="5" t="s">
        <v>9</v>
      </c>
      <c r="C53" s="19"/>
      <c r="D53" s="10"/>
      <c r="F53" s="12"/>
      <c r="G53" s="10"/>
      <c r="H53" s="15"/>
      <c r="I53" s="12"/>
      <c r="J53" s="10"/>
      <c r="K53" s="15"/>
      <c r="L53" s="12" t="s">
        <v>43</v>
      </c>
      <c r="M53" s="10">
        <v>-8</v>
      </c>
      <c r="O53" s="12"/>
      <c r="P53" s="10"/>
    </row>
  </sheetData>
  <mergeCells count="10">
    <mergeCell ref="O1:P1"/>
    <mergeCell ref="O2:P2"/>
    <mergeCell ref="C1:D1"/>
    <mergeCell ref="F1:G1"/>
    <mergeCell ref="I1:J1"/>
    <mergeCell ref="L1:M1"/>
    <mergeCell ref="C2:D2"/>
    <mergeCell ref="F2:G2"/>
    <mergeCell ref="I2:J2"/>
    <mergeCell ref="L2:M2"/>
  </mergeCells>
  <phoneticPr fontId="1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M37"/>
  <sheetViews>
    <sheetView workbookViewId="0">
      <selection activeCell="J28" sqref="J28"/>
    </sheetView>
  </sheetViews>
  <sheetFormatPr defaultRowHeight="13.5" x14ac:dyDescent="0.15"/>
  <cols>
    <col min="1" max="1" width="8.25" bestFit="1" customWidth="1"/>
    <col min="2" max="2" width="5.25" bestFit="1" customWidth="1"/>
    <col min="3" max="3" width="7.125" bestFit="1" customWidth="1"/>
    <col min="5" max="5" width="3.625" customWidth="1"/>
    <col min="6" max="6" width="7.875" bestFit="1" customWidth="1"/>
    <col min="7" max="7" width="5.5" bestFit="1" customWidth="1"/>
    <col min="8" max="8" width="3.625" customWidth="1"/>
    <col min="9" max="9" width="5.5" customWidth="1"/>
    <col min="11" max="11" width="3.625" customWidth="1"/>
  </cols>
  <sheetData>
    <row r="1" spans="1:13" x14ac:dyDescent="0.15">
      <c r="C1" s="44" t="s">
        <v>1</v>
      </c>
      <c r="D1" s="45"/>
      <c r="E1" s="2"/>
      <c r="F1" s="44" t="s">
        <v>2</v>
      </c>
      <c r="G1" s="45"/>
      <c r="H1" s="13"/>
      <c r="I1" s="44" t="s">
        <v>12</v>
      </c>
      <c r="J1" s="45"/>
      <c r="K1" s="13"/>
      <c r="L1" s="44" t="s">
        <v>13</v>
      </c>
      <c r="M1" s="45"/>
    </row>
    <row r="2" spans="1:13" x14ac:dyDescent="0.15">
      <c r="A2" s="4" t="s">
        <v>14</v>
      </c>
      <c r="B2" s="4" t="s">
        <v>3</v>
      </c>
      <c r="C2" s="46">
        <f>SUM(D3:D37)</f>
        <v>-7.8</v>
      </c>
      <c r="D2" s="47"/>
      <c r="E2" s="3"/>
      <c r="F2" s="46">
        <f>SUM(G3:G37)</f>
        <v>-72</v>
      </c>
      <c r="G2" s="47"/>
      <c r="H2" s="14"/>
      <c r="I2" s="46">
        <f>SUM(J3:J37)</f>
        <v>76</v>
      </c>
      <c r="J2" s="47"/>
      <c r="K2" s="14"/>
      <c r="L2" s="46">
        <f>SUM(M3:M37)</f>
        <v>0</v>
      </c>
      <c r="M2" s="47"/>
    </row>
    <row r="3" spans="1:13" x14ac:dyDescent="0.15">
      <c r="A3" s="5">
        <v>42948</v>
      </c>
      <c r="B3" s="5" t="s">
        <v>4</v>
      </c>
      <c r="C3" s="7"/>
      <c r="D3" s="8">
        <v>15</v>
      </c>
      <c r="F3" s="11"/>
      <c r="G3" s="8">
        <v>12</v>
      </c>
      <c r="H3" s="15"/>
      <c r="I3" s="11"/>
      <c r="J3" s="8"/>
      <c r="K3" s="15"/>
      <c r="L3" s="11"/>
      <c r="M3" s="8"/>
    </row>
    <row r="4" spans="1:13" x14ac:dyDescent="0.15">
      <c r="A4" s="5">
        <v>42949</v>
      </c>
      <c r="B4" s="5" t="s">
        <v>6</v>
      </c>
      <c r="C4" s="7"/>
      <c r="D4" s="8"/>
      <c r="F4" s="11"/>
      <c r="G4" s="8"/>
      <c r="H4" s="15"/>
      <c r="I4" s="11"/>
      <c r="J4" s="8"/>
      <c r="K4" s="15"/>
      <c r="L4" s="11"/>
      <c r="M4" s="8"/>
    </row>
    <row r="5" spans="1:13" x14ac:dyDescent="0.15">
      <c r="A5" s="5">
        <v>42950</v>
      </c>
      <c r="B5" s="5" t="s">
        <v>7</v>
      </c>
      <c r="C5" s="7"/>
      <c r="D5" s="8"/>
      <c r="F5" s="11"/>
      <c r="G5" s="8">
        <v>14</v>
      </c>
      <c r="H5" s="15"/>
      <c r="I5" s="11"/>
      <c r="J5" s="8"/>
      <c r="K5" s="15"/>
      <c r="L5" s="11"/>
      <c r="M5" s="8"/>
    </row>
    <row r="6" spans="1:13" x14ac:dyDescent="0.15">
      <c r="A6" s="5">
        <v>42951</v>
      </c>
      <c r="B6" s="5" t="s">
        <v>8</v>
      </c>
      <c r="C6" s="7"/>
      <c r="D6" s="8">
        <v>14</v>
      </c>
      <c r="F6" s="11"/>
      <c r="G6" s="8">
        <v>14</v>
      </c>
      <c r="H6" s="15"/>
      <c r="I6" s="11"/>
      <c r="J6" s="8"/>
      <c r="K6" s="15"/>
      <c r="L6" s="11"/>
      <c r="M6" s="8"/>
    </row>
    <row r="7" spans="1:13" x14ac:dyDescent="0.15">
      <c r="A7" s="5">
        <v>42952</v>
      </c>
      <c r="B7" s="5" t="s">
        <v>9</v>
      </c>
      <c r="C7" s="7"/>
      <c r="D7" s="8"/>
      <c r="F7" s="11"/>
      <c r="G7" s="8"/>
      <c r="H7" s="15"/>
      <c r="I7" s="11"/>
      <c r="J7" s="8"/>
      <c r="K7" s="15"/>
      <c r="L7" s="11"/>
      <c r="M7" s="8"/>
    </row>
    <row r="8" spans="1:13" x14ac:dyDescent="0.15">
      <c r="A8" s="5">
        <v>42953</v>
      </c>
      <c r="B8" s="5" t="s">
        <v>10</v>
      </c>
      <c r="C8" s="7"/>
      <c r="D8" s="8"/>
      <c r="F8" s="11"/>
      <c r="G8" s="8"/>
      <c r="H8" s="15"/>
      <c r="I8" s="11"/>
      <c r="J8" s="8"/>
      <c r="K8" s="15"/>
      <c r="L8" s="11"/>
      <c r="M8" s="8"/>
    </row>
    <row r="9" spans="1:13" x14ac:dyDescent="0.15">
      <c r="A9" s="5">
        <v>42954</v>
      </c>
      <c r="B9" s="5" t="s">
        <v>5</v>
      </c>
      <c r="C9" s="7"/>
      <c r="D9" s="8">
        <v>8</v>
      </c>
      <c r="F9" s="11"/>
      <c r="G9" s="8"/>
      <c r="H9" s="15"/>
      <c r="I9" s="11"/>
      <c r="J9" s="8"/>
      <c r="K9" s="15"/>
      <c r="L9" s="11"/>
      <c r="M9" s="8"/>
    </row>
    <row r="10" spans="1:13" x14ac:dyDescent="0.15">
      <c r="A10" s="5">
        <v>42955</v>
      </c>
      <c r="B10" s="5" t="s">
        <v>4</v>
      </c>
      <c r="C10" s="7"/>
      <c r="D10" s="8">
        <v>8</v>
      </c>
      <c r="F10" s="11"/>
      <c r="G10" s="8"/>
      <c r="H10" s="15"/>
      <c r="I10" s="11"/>
      <c r="J10" s="8"/>
      <c r="K10" s="15"/>
      <c r="L10" s="11"/>
      <c r="M10" s="8"/>
    </row>
    <row r="11" spans="1:13" x14ac:dyDescent="0.15">
      <c r="A11" s="5">
        <v>42956</v>
      </c>
      <c r="B11" s="5" t="s">
        <v>6</v>
      </c>
      <c r="C11" s="7"/>
      <c r="D11" s="8"/>
      <c r="F11" s="11"/>
      <c r="G11" s="8"/>
      <c r="H11" s="15"/>
      <c r="I11" s="11"/>
      <c r="J11" s="8"/>
      <c r="K11" s="15"/>
      <c r="L11" s="11"/>
      <c r="M11" s="8"/>
    </row>
    <row r="12" spans="1:13" x14ac:dyDescent="0.15">
      <c r="A12" s="5">
        <v>42957</v>
      </c>
      <c r="B12" s="5" t="s">
        <v>7</v>
      </c>
      <c r="C12" s="7"/>
      <c r="D12" s="8"/>
      <c r="F12" s="11"/>
      <c r="G12" s="8"/>
      <c r="H12" s="15"/>
      <c r="I12" s="11"/>
      <c r="J12" s="8"/>
      <c r="K12" s="15"/>
      <c r="L12" s="11"/>
      <c r="M12" s="8"/>
    </row>
    <row r="13" spans="1:13" x14ac:dyDescent="0.15">
      <c r="A13" s="5">
        <v>42958</v>
      </c>
      <c r="B13" s="5" t="s">
        <v>8</v>
      </c>
      <c r="C13" s="7"/>
      <c r="D13" s="8"/>
      <c r="F13" s="11"/>
      <c r="G13" s="8"/>
      <c r="H13" s="15"/>
      <c r="I13" s="11"/>
      <c r="J13" s="8"/>
      <c r="K13" s="15"/>
      <c r="L13" s="11"/>
      <c r="M13" s="8"/>
    </row>
    <row r="14" spans="1:13" x14ac:dyDescent="0.15">
      <c r="A14" s="5">
        <v>42959</v>
      </c>
      <c r="B14" s="5" t="s">
        <v>9</v>
      </c>
      <c r="C14" s="7"/>
      <c r="D14" s="8">
        <f>8-100</f>
        <v>-92</v>
      </c>
      <c r="F14" s="11"/>
      <c r="G14" s="8"/>
      <c r="H14" s="15"/>
      <c r="I14" s="11"/>
      <c r="J14" s="8"/>
      <c r="K14" s="15"/>
      <c r="L14" s="11"/>
      <c r="M14" s="8"/>
    </row>
    <row r="15" spans="1:13" x14ac:dyDescent="0.15">
      <c r="A15" s="5">
        <v>42960</v>
      </c>
      <c r="B15" s="5" t="s">
        <v>10</v>
      </c>
      <c r="C15" s="7"/>
      <c r="D15" s="8"/>
      <c r="F15" s="11"/>
      <c r="G15" s="8"/>
      <c r="H15" s="15"/>
      <c r="I15" s="11"/>
      <c r="J15" s="8"/>
      <c r="K15" s="15"/>
      <c r="L15" s="11"/>
      <c r="M15" s="8"/>
    </row>
    <row r="16" spans="1:13" x14ac:dyDescent="0.15">
      <c r="A16" s="5">
        <v>42961</v>
      </c>
      <c r="B16" s="5" t="s">
        <v>5</v>
      </c>
      <c r="C16" s="7"/>
      <c r="D16" s="8">
        <v>20</v>
      </c>
      <c r="F16" s="11"/>
      <c r="G16" s="8">
        <v>-100</v>
      </c>
      <c r="H16" s="15"/>
      <c r="I16" s="11"/>
      <c r="J16" s="8"/>
      <c r="K16" s="15"/>
      <c r="L16" s="11"/>
      <c r="M16" s="8"/>
    </row>
    <row r="17" spans="1:13" x14ac:dyDescent="0.15">
      <c r="A17" s="5">
        <v>42962</v>
      </c>
      <c r="B17" s="5" t="s">
        <v>4</v>
      </c>
      <c r="C17" s="7"/>
      <c r="D17" s="8">
        <v>12</v>
      </c>
      <c r="F17" s="11"/>
      <c r="G17" s="8">
        <f>30+14</f>
        <v>44</v>
      </c>
      <c r="H17" s="15"/>
      <c r="I17" s="11"/>
      <c r="J17" s="8">
        <v>30</v>
      </c>
      <c r="K17" s="15"/>
      <c r="L17" s="11"/>
      <c r="M17" s="8"/>
    </row>
    <row r="18" spans="1:13" x14ac:dyDescent="0.15">
      <c r="A18" s="5">
        <v>42963</v>
      </c>
      <c r="B18" s="5" t="s">
        <v>6</v>
      </c>
      <c r="C18" s="7"/>
      <c r="D18" s="8"/>
      <c r="F18" s="11"/>
      <c r="G18" s="8">
        <f>14-16</f>
        <v>-2</v>
      </c>
      <c r="H18" s="15"/>
      <c r="I18" s="11"/>
      <c r="J18" s="8"/>
      <c r="K18" s="15"/>
      <c r="L18" s="11"/>
      <c r="M18" s="8"/>
    </row>
    <row r="19" spans="1:13" x14ac:dyDescent="0.15">
      <c r="A19" s="5">
        <v>42964</v>
      </c>
      <c r="B19" s="5" t="s">
        <v>7</v>
      </c>
      <c r="C19" s="7"/>
      <c r="D19" s="8">
        <v>46</v>
      </c>
      <c r="F19" s="11"/>
      <c r="G19" s="8">
        <f>12+46</f>
        <v>58</v>
      </c>
      <c r="H19" s="15"/>
      <c r="I19" s="11"/>
      <c r="J19" s="8">
        <v>46</v>
      </c>
      <c r="K19" s="15"/>
      <c r="L19" s="11"/>
      <c r="M19" s="8"/>
    </row>
    <row r="20" spans="1:13" x14ac:dyDescent="0.15">
      <c r="A20" s="5">
        <v>42965</v>
      </c>
      <c r="B20" s="5" t="s">
        <v>8</v>
      </c>
      <c r="C20" s="7"/>
      <c r="D20" s="8"/>
      <c r="F20" s="11"/>
      <c r="G20" s="8">
        <v>12</v>
      </c>
      <c r="H20" s="15"/>
      <c r="I20" s="11"/>
      <c r="J20" s="8"/>
      <c r="K20" s="15"/>
      <c r="L20" s="11"/>
      <c r="M20" s="8"/>
    </row>
    <row r="21" spans="1:13" x14ac:dyDescent="0.15">
      <c r="A21" s="5">
        <v>42966</v>
      </c>
      <c r="B21" s="5" t="s">
        <v>9</v>
      </c>
      <c r="C21" s="7"/>
      <c r="D21" s="8"/>
      <c r="F21" s="11"/>
      <c r="G21" s="8"/>
      <c r="H21" s="15"/>
      <c r="I21" s="11"/>
      <c r="J21" s="8"/>
      <c r="K21" s="15"/>
      <c r="L21" s="11"/>
      <c r="M21" s="8"/>
    </row>
    <row r="22" spans="1:13" x14ac:dyDescent="0.15">
      <c r="A22" s="5">
        <v>42967</v>
      </c>
      <c r="B22" s="5" t="s">
        <v>10</v>
      </c>
      <c r="C22" s="7"/>
      <c r="D22" s="8"/>
      <c r="F22" s="11"/>
      <c r="G22" s="8"/>
      <c r="H22" s="15"/>
      <c r="I22" s="11"/>
      <c r="J22" s="8"/>
      <c r="K22" s="15"/>
      <c r="L22" s="11"/>
      <c r="M22" s="8"/>
    </row>
    <row r="23" spans="1:13" x14ac:dyDescent="0.15">
      <c r="A23" s="5">
        <v>42968</v>
      </c>
      <c r="B23" s="5" t="s">
        <v>5</v>
      </c>
      <c r="C23" s="7"/>
      <c r="D23" s="8"/>
      <c r="F23" s="11"/>
      <c r="G23" s="8"/>
      <c r="H23" s="15"/>
      <c r="I23" s="11"/>
      <c r="J23" s="8"/>
      <c r="K23" s="15"/>
      <c r="L23" s="11"/>
      <c r="M23" s="8"/>
    </row>
    <row r="24" spans="1:13" x14ac:dyDescent="0.15">
      <c r="A24" s="5">
        <v>42969</v>
      </c>
      <c r="B24" s="5" t="s">
        <v>4</v>
      </c>
      <c r="C24" s="7"/>
      <c r="D24" s="8"/>
      <c r="F24" s="11"/>
      <c r="G24" s="8"/>
      <c r="H24" s="15"/>
      <c r="I24" s="11"/>
      <c r="J24" s="8"/>
      <c r="K24" s="15"/>
      <c r="L24" s="11"/>
      <c r="M24" s="8"/>
    </row>
    <row r="25" spans="1:13" x14ac:dyDescent="0.15">
      <c r="A25" s="5">
        <v>42970</v>
      </c>
      <c r="B25" s="5" t="s">
        <v>6</v>
      </c>
      <c r="C25" s="7" t="s">
        <v>16</v>
      </c>
      <c r="D25" s="8">
        <v>8</v>
      </c>
      <c r="F25" s="11" t="s">
        <v>15</v>
      </c>
      <c r="G25" s="8">
        <v>12</v>
      </c>
      <c r="H25" s="15"/>
      <c r="I25" s="11"/>
      <c r="J25" s="8"/>
      <c r="K25" s="15"/>
      <c r="L25" s="11"/>
      <c r="M25" s="8"/>
    </row>
    <row r="26" spans="1:13" x14ac:dyDescent="0.15">
      <c r="A26" s="5">
        <v>42971</v>
      </c>
      <c r="B26" s="5" t="s">
        <v>7</v>
      </c>
      <c r="C26" s="7" t="s">
        <v>17</v>
      </c>
      <c r="D26" s="8">
        <v>7.5</v>
      </c>
      <c r="F26" s="11" t="s">
        <v>15</v>
      </c>
      <c r="G26" s="8">
        <v>12</v>
      </c>
      <c r="H26" s="15"/>
      <c r="I26" s="11"/>
      <c r="J26" s="8"/>
      <c r="K26" s="15"/>
      <c r="L26" s="11"/>
      <c r="M26" s="8"/>
    </row>
    <row r="27" spans="1:13" x14ac:dyDescent="0.15">
      <c r="A27" s="5">
        <v>42972</v>
      </c>
      <c r="B27" s="5" t="s">
        <v>8</v>
      </c>
      <c r="C27" s="7" t="s">
        <v>18</v>
      </c>
      <c r="D27" s="8">
        <v>8</v>
      </c>
      <c r="F27" s="11" t="s">
        <v>15</v>
      </c>
      <c r="G27" s="8">
        <v>12</v>
      </c>
      <c r="H27" s="15"/>
      <c r="I27" s="11"/>
      <c r="J27" s="8"/>
      <c r="K27" s="15"/>
      <c r="L27" s="11"/>
      <c r="M27" s="8"/>
    </row>
    <row r="28" spans="1:13" x14ac:dyDescent="0.15">
      <c r="A28" s="5">
        <v>42973</v>
      </c>
      <c r="B28" s="5" t="s">
        <v>9</v>
      </c>
      <c r="C28" s="7"/>
      <c r="D28" s="8"/>
      <c r="F28" s="11"/>
      <c r="G28" s="8"/>
      <c r="H28" s="15"/>
      <c r="I28" s="11"/>
      <c r="J28" s="8"/>
      <c r="K28" s="15"/>
      <c r="L28" s="11"/>
      <c r="M28" s="8"/>
    </row>
    <row r="29" spans="1:13" x14ac:dyDescent="0.15">
      <c r="A29" s="5">
        <v>42974</v>
      </c>
      <c r="B29" s="5" t="s">
        <v>10</v>
      </c>
      <c r="C29" s="7"/>
      <c r="D29" s="8"/>
      <c r="F29" s="11"/>
      <c r="G29" s="8"/>
      <c r="H29" s="15"/>
      <c r="I29" s="11"/>
      <c r="J29" s="8"/>
      <c r="K29" s="15"/>
      <c r="L29" s="11"/>
      <c r="M29" s="8"/>
    </row>
    <row r="30" spans="1:13" x14ac:dyDescent="0.15">
      <c r="A30" s="5">
        <v>42975</v>
      </c>
      <c r="B30" s="5" t="s">
        <v>5</v>
      </c>
      <c r="C30" s="7"/>
      <c r="D30" s="8"/>
      <c r="F30" s="11" t="s">
        <v>15</v>
      </c>
      <c r="G30" s="8">
        <v>9</v>
      </c>
      <c r="H30" s="15"/>
      <c r="I30" s="11"/>
      <c r="J30" s="8"/>
      <c r="K30" s="15"/>
      <c r="L30" s="11"/>
      <c r="M30" s="8"/>
    </row>
    <row r="31" spans="1:13" x14ac:dyDescent="0.15">
      <c r="A31" s="5"/>
      <c r="B31" s="5"/>
      <c r="C31" s="7"/>
      <c r="D31" s="8"/>
      <c r="F31" s="11" t="s">
        <v>19</v>
      </c>
      <c r="G31" s="8">
        <v>-170</v>
      </c>
      <c r="H31" s="15"/>
      <c r="I31" s="11"/>
      <c r="J31" s="8"/>
      <c r="K31" s="15"/>
      <c r="L31" s="11"/>
      <c r="M31" s="8"/>
    </row>
    <row r="32" spans="1:13" x14ac:dyDescent="0.15">
      <c r="A32" s="5">
        <v>42976</v>
      </c>
      <c r="B32" s="5" t="s">
        <v>4</v>
      </c>
      <c r="C32" s="7" t="s">
        <v>20</v>
      </c>
      <c r="D32" s="8">
        <v>16</v>
      </c>
      <c r="F32" s="11" t="s">
        <v>15</v>
      </c>
      <c r="G32" s="8">
        <v>12</v>
      </c>
      <c r="H32" s="15"/>
      <c r="I32" s="11"/>
      <c r="J32" s="8"/>
      <c r="K32" s="15"/>
      <c r="L32" s="11"/>
      <c r="M32" s="8"/>
    </row>
    <row r="33" spans="1:13" x14ac:dyDescent="0.15">
      <c r="A33" s="5"/>
      <c r="B33" s="5"/>
      <c r="C33" s="11" t="s">
        <v>19</v>
      </c>
      <c r="D33" s="8">
        <v>-100</v>
      </c>
      <c r="F33" s="11" t="s">
        <v>19</v>
      </c>
      <c r="G33" s="8">
        <v>-11</v>
      </c>
      <c r="H33" s="15"/>
      <c r="I33" s="11"/>
      <c r="J33" s="8"/>
      <c r="K33" s="15"/>
      <c r="L33" s="11"/>
      <c r="M33" s="8"/>
    </row>
    <row r="34" spans="1:13" x14ac:dyDescent="0.15">
      <c r="A34" s="5"/>
      <c r="B34" s="5"/>
      <c r="C34" s="11" t="s">
        <v>21</v>
      </c>
      <c r="D34" s="8">
        <v>7</v>
      </c>
      <c r="F34" s="11"/>
      <c r="G34" s="8"/>
      <c r="H34" s="15"/>
      <c r="I34" s="11"/>
      <c r="J34" s="8"/>
      <c r="K34" s="15"/>
      <c r="L34" s="11"/>
      <c r="M34" s="8"/>
    </row>
    <row r="35" spans="1:13" x14ac:dyDescent="0.15">
      <c r="A35" s="5">
        <v>42977</v>
      </c>
      <c r="B35" s="5" t="s">
        <v>6</v>
      </c>
      <c r="C35" s="7" t="s">
        <v>22</v>
      </c>
      <c r="D35" s="8">
        <v>10</v>
      </c>
      <c r="F35" s="11"/>
      <c r="G35" s="8"/>
      <c r="H35" s="15"/>
      <c r="I35" s="11"/>
      <c r="J35" s="8"/>
      <c r="K35" s="15"/>
      <c r="L35" s="11"/>
      <c r="M35" s="8"/>
    </row>
    <row r="36" spans="1:13" x14ac:dyDescent="0.15">
      <c r="A36" s="5"/>
      <c r="B36" s="5"/>
      <c r="C36" s="7" t="s">
        <v>23</v>
      </c>
      <c r="D36" s="8">
        <v>4.7</v>
      </c>
      <c r="F36" s="11"/>
      <c r="G36" s="8"/>
      <c r="H36" s="15"/>
      <c r="I36" s="11"/>
      <c r="J36" s="8"/>
      <c r="K36" s="15"/>
      <c r="L36" s="11"/>
      <c r="M36" s="8"/>
    </row>
    <row r="37" spans="1:13" ht="14.25" thickBot="1" x14ac:dyDescent="0.2">
      <c r="A37" s="5">
        <v>42978</v>
      </c>
      <c r="B37" s="5" t="s">
        <v>7</v>
      </c>
      <c r="C37" s="9"/>
      <c r="D37" s="10"/>
      <c r="F37" s="12"/>
      <c r="G37" s="10"/>
      <c r="H37" s="15"/>
      <c r="I37" s="12"/>
      <c r="J37" s="10"/>
      <c r="K37" s="15"/>
      <c r="L37" s="12"/>
      <c r="M37" s="10"/>
    </row>
  </sheetData>
  <mergeCells count="8">
    <mergeCell ref="C1:D1"/>
    <mergeCell ref="C2:D2"/>
    <mergeCell ref="I2:J2"/>
    <mergeCell ref="I1:J1"/>
    <mergeCell ref="L1:M1"/>
    <mergeCell ref="L2:M2"/>
    <mergeCell ref="F1:G1"/>
    <mergeCell ref="F2:G2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U44"/>
  <sheetViews>
    <sheetView topLeftCell="A29" workbookViewId="0">
      <selection activeCell="H44" sqref="H44"/>
    </sheetView>
  </sheetViews>
  <sheetFormatPr defaultRowHeight="13.5" x14ac:dyDescent="0.15"/>
  <cols>
    <col min="1" max="1" width="3.625" customWidth="1"/>
    <col min="2" max="2" width="5.25" bestFit="1" customWidth="1"/>
    <col min="3" max="3" width="7.125" bestFit="1" customWidth="1"/>
    <col min="4" max="5" width="11.625" bestFit="1" customWidth="1"/>
    <col min="6" max="6" width="7.5" bestFit="1" customWidth="1"/>
    <col min="7" max="7" width="5.25" bestFit="1" customWidth="1"/>
    <col min="8" max="8" width="31.375" bestFit="1" customWidth="1"/>
    <col min="9" max="9" width="3.625" customWidth="1"/>
    <col min="10" max="10" width="4.5" bestFit="1" customWidth="1"/>
    <col min="11" max="11" width="7.125" bestFit="1" customWidth="1"/>
    <col min="12" max="13" width="11.625" bestFit="1" customWidth="1"/>
    <col min="14" max="14" width="5.25" bestFit="1" customWidth="1"/>
    <col min="15" max="15" width="28.875" bestFit="1" customWidth="1"/>
    <col min="16" max="17" width="3.625" customWidth="1"/>
    <col min="19" max="19" width="10.5" bestFit="1" customWidth="1"/>
  </cols>
  <sheetData>
    <row r="2" spans="2:21" x14ac:dyDescent="0.15">
      <c r="B2" t="s">
        <v>207</v>
      </c>
      <c r="C2">
        <f>SUM(B:B)+SUM(J:J)+SUM(Q:Q)</f>
        <v>0</v>
      </c>
    </row>
    <row r="5" spans="2:21" x14ac:dyDescent="0.15">
      <c r="C5" s="48" t="s">
        <v>60</v>
      </c>
      <c r="D5" s="48"/>
      <c r="E5" s="48"/>
      <c r="F5" s="48"/>
      <c r="G5" s="48"/>
      <c r="H5" s="48"/>
      <c r="K5" s="48" t="s">
        <v>61</v>
      </c>
      <c r="L5" s="48"/>
      <c r="M5" s="48"/>
      <c r="N5" s="48"/>
      <c r="O5" s="48"/>
      <c r="R5" s="48" t="s">
        <v>205</v>
      </c>
      <c r="S5" s="48"/>
      <c r="T5" s="48"/>
      <c r="U5" s="48"/>
    </row>
    <row r="6" spans="2:21" x14ac:dyDescent="0.15">
      <c r="C6" s="31" t="s">
        <v>66</v>
      </c>
      <c r="D6" s="31" t="s">
        <v>212</v>
      </c>
      <c r="E6" s="32" t="s">
        <v>211</v>
      </c>
      <c r="F6" s="31" t="s">
        <v>68</v>
      </c>
      <c r="G6" s="31" t="s">
        <v>59</v>
      </c>
      <c r="H6" s="32" t="s">
        <v>67</v>
      </c>
      <c r="K6" s="31" t="s">
        <v>66</v>
      </c>
      <c r="L6" s="31" t="s">
        <v>212</v>
      </c>
      <c r="M6" s="32" t="s">
        <v>211</v>
      </c>
      <c r="N6" s="31" t="s">
        <v>68</v>
      </c>
      <c r="O6" s="32" t="s">
        <v>67</v>
      </c>
      <c r="R6" s="31" t="s">
        <v>66</v>
      </c>
      <c r="S6" s="31" t="s">
        <v>14</v>
      </c>
      <c r="T6" s="31" t="s">
        <v>68</v>
      </c>
      <c r="U6" s="32" t="s">
        <v>67</v>
      </c>
    </row>
    <row r="7" spans="2:21" x14ac:dyDescent="0.15">
      <c r="B7">
        <f t="shared" ref="B7:B44" si="0">IF(C7="已填单",F7,0)</f>
        <v>0</v>
      </c>
      <c r="C7" s="24" t="s">
        <v>73</v>
      </c>
      <c r="D7" s="25">
        <v>43172</v>
      </c>
      <c r="E7" s="24"/>
      <c r="F7" s="24">
        <v>104</v>
      </c>
      <c r="G7" s="24">
        <v>4</v>
      </c>
      <c r="H7" s="24"/>
      <c r="J7">
        <f t="shared" ref="J7:J14" si="1">IF(K7="已填单",O7,0)</f>
        <v>0</v>
      </c>
      <c r="K7" s="24" t="s">
        <v>73</v>
      </c>
      <c r="L7" s="25">
        <v>43185</v>
      </c>
      <c r="M7" s="25"/>
      <c r="N7" s="24">
        <v>145</v>
      </c>
      <c r="O7" s="24" t="s">
        <v>62</v>
      </c>
      <c r="Q7">
        <f>IF(R7="已填单",T7,0)</f>
        <v>0</v>
      </c>
      <c r="R7" s="24" t="s">
        <v>73</v>
      </c>
      <c r="S7" s="25">
        <v>43642</v>
      </c>
      <c r="T7" s="24">
        <v>650</v>
      </c>
      <c r="U7" s="34" t="s">
        <v>206</v>
      </c>
    </row>
    <row r="8" spans="2:21" x14ac:dyDescent="0.15">
      <c r="B8">
        <f t="shared" si="0"/>
        <v>0</v>
      </c>
      <c r="C8" s="24" t="s">
        <v>73</v>
      </c>
      <c r="D8" s="25">
        <v>43175</v>
      </c>
      <c r="E8" s="24"/>
      <c r="F8" s="24">
        <v>77</v>
      </c>
      <c r="G8" s="24">
        <v>3</v>
      </c>
      <c r="H8" s="24"/>
      <c r="J8">
        <f t="shared" si="1"/>
        <v>0</v>
      </c>
      <c r="K8" s="24" t="s">
        <v>73</v>
      </c>
      <c r="L8" s="25">
        <v>43287</v>
      </c>
      <c r="M8" s="25"/>
      <c r="N8" s="24">
        <v>223</v>
      </c>
      <c r="O8" s="24"/>
    </row>
    <row r="9" spans="2:21" x14ac:dyDescent="0.15">
      <c r="B9">
        <f t="shared" si="0"/>
        <v>0</v>
      </c>
      <c r="C9" s="24" t="s">
        <v>73</v>
      </c>
      <c r="D9" s="25">
        <v>43176</v>
      </c>
      <c r="E9" s="24"/>
      <c r="F9" s="24">
        <v>181</v>
      </c>
      <c r="G9" s="24">
        <v>6</v>
      </c>
      <c r="H9" s="24"/>
      <c r="J9">
        <f t="shared" si="1"/>
        <v>0</v>
      </c>
      <c r="K9" s="24" t="s">
        <v>73</v>
      </c>
      <c r="L9" s="25">
        <v>43495</v>
      </c>
      <c r="M9" s="25"/>
      <c r="N9" s="24">
        <v>284</v>
      </c>
      <c r="O9" s="24"/>
    </row>
    <row r="10" spans="2:21" x14ac:dyDescent="0.15">
      <c r="B10">
        <f t="shared" si="0"/>
        <v>0</v>
      </c>
      <c r="C10" s="24" t="s">
        <v>73</v>
      </c>
      <c r="D10" s="24"/>
      <c r="E10" s="24"/>
      <c r="F10" s="24">
        <v>100</v>
      </c>
      <c r="G10" s="24">
        <v>4</v>
      </c>
      <c r="H10" s="24"/>
      <c r="J10">
        <f t="shared" si="1"/>
        <v>0</v>
      </c>
      <c r="K10" s="24" t="s">
        <v>73</v>
      </c>
      <c r="L10" s="25">
        <v>43498</v>
      </c>
      <c r="M10" s="25"/>
      <c r="N10" s="24">
        <v>136</v>
      </c>
      <c r="O10" s="24" t="s">
        <v>146</v>
      </c>
    </row>
    <row r="11" spans="2:21" x14ac:dyDescent="0.15">
      <c r="B11">
        <f t="shared" si="0"/>
        <v>0</v>
      </c>
      <c r="C11" s="24" t="s">
        <v>73</v>
      </c>
      <c r="D11" s="24"/>
      <c r="E11" s="24"/>
      <c r="F11" s="24">
        <v>25.6</v>
      </c>
      <c r="G11" s="24">
        <v>1</v>
      </c>
      <c r="H11" s="24"/>
      <c r="J11">
        <f t="shared" si="1"/>
        <v>0</v>
      </c>
      <c r="K11" s="24" t="s">
        <v>73</v>
      </c>
      <c r="L11" s="25">
        <v>43514</v>
      </c>
      <c r="M11" s="25"/>
      <c r="N11" s="24">
        <v>189</v>
      </c>
      <c r="O11" s="24" t="s">
        <v>151</v>
      </c>
    </row>
    <row r="12" spans="2:21" x14ac:dyDescent="0.15">
      <c r="B12">
        <f t="shared" si="0"/>
        <v>0</v>
      </c>
      <c r="C12" s="24" t="s">
        <v>73</v>
      </c>
      <c r="D12" s="25">
        <v>43182</v>
      </c>
      <c r="E12" s="24"/>
      <c r="F12" s="24">
        <v>98</v>
      </c>
      <c r="G12" s="24">
        <v>4</v>
      </c>
      <c r="H12" s="24" t="s">
        <v>63</v>
      </c>
      <c r="J12">
        <f t="shared" si="1"/>
        <v>0</v>
      </c>
      <c r="K12" s="24" t="s">
        <v>73</v>
      </c>
      <c r="L12" s="25">
        <v>43514</v>
      </c>
      <c r="M12" s="25"/>
      <c r="N12" s="24">
        <v>141</v>
      </c>
      <c r="O12" s="24" t="s">
        <v>152</v>
      </c>
    </row>
    <row r="13" spans="2:21" x14ac:dyDescent="0.15">
      <c r="B13">
        <f t="shared" si="0"/>
        <v>0</v>
      </c>
      <c r="C13" s="24" t="s">
        <v>83</v>
      </c>
      <c r="D13" s="25">
        <v>43232</v>
      </c>
      <c r="E13" s="24"/>
      <c r="F13" s="24">
        <v>116</v>
      </c>
      <c r="G13" s="24">
        <v>4</v>
      </c>
      <c r="H13" s="24" t="s">
        <v>80</v>
      </c>
      <c r="J13">
        <f t="shared" si="1"/>
        <v>0</v>
      </c>
      <c r="K13" s="24" t="s">
        <v>73</v>
      </c>
      <c r="L13" s="25">
        <v>43532</v>
      </c>
      <c r="M13" s="25"/>
      <c r="N13" s="24">
        <v>360</v>
      </c>
      <c r="O13" s="30" t="s">
        <v>160</v>
      </c>
    </row>
    <row r="14" spans="2:21" x14ac:dyDescent="0.15">
      <c r="B14">
        <f t="shared" si="0"/>
        <v>0</v>
      </c>
      <c r="C14" s="24" t="s">
        <v>83</v>
      </c>
      <c r="D14" s="25">
        <v>43234</v>
      </c>
      <c r="E14" s="24"/>
      <c r="F14" s="24">
        <f>57+66</f>
        <v>123</v>
      </c>
      <c r="G14" s="24">
        <v>4</v>
      </c>
      <c r="H14" s="24" t="s">
        <v>80</v>
      </c>
      <c r="J14">
        <f t="shared" si="1"/>
        <v>0</v>
      </c>
      <c r="K14" s="24" t="s">
        <v>73</v>
      </c>
      <c r="L14" s="25">
        <v>43608</v>
      </c>
      <c r="M14" s="25"/>
      <c r="N14" s="24">
        <v>153</v>
      </c>
      <c r="O14" s="30" t="s">
        <v>180</v>
      </c>
    </row>
    <row r="15" spans="2:21" x14ac:dyDescent="0.15">
      <c r="B15">
        <f t="shared" si="0"/>
        <v>0</v>
      </c>
      <c r="C15" s="24" t="s">
        <v>83</v>
      </c>
      <c r="D15" s="25">
        <v>43241</v>
      </c>
      <c r="E15" s="24"/>
      <c r="F15" s="24">
        <v>111.5</v>
      </c>
      <c r="G15" s="24">
        <v>6</v>
      </c>
      <c r="H15" s="24"/>
      <c r="J15">
        <f t="shared" ref="J15:J21" si="2">IF(K15="已填单",N15,0)</f>
        <v>0</v>
      </c>
      <c r="K15" s="24" t="s">
        <v>73</v>
      </c>
      <c r="L15" s="25">
        <v>43615</v>
      </c>
      <c r="M15" s="25">
        <v>43644</v>
      </c>
      <c r="N15" s="24">
        <v>302</v>
      </c>
      <c r="O15" s="30" t="s">
        <v>189</v>
      </c>
    </row>
    <row r="16" spans="2:21" x14ac:dyDescent="0.15">
      <c r="B16">
        <f t="shared" si="0"/>
        <v>0</v>
      </c>
      <c r="C16" s="24" t="s">
        <v>73</v>
      </c>
      <c r="D16" s="25">
        <v>43256</v>
      </c>
      <c r="E16" s="24"/>
      <c r="F16" s="24">
        <v>316</v>
      </c>
      <c r="G16" s="24"/>
      <c r="H16" s="24"/>
      <c r="J16">
        <f t="shared" si="2"/>
        <v>0</v>
      </c>
      <c r="K16" s="24" t="s">
        <v>73</v>
      </c>
      <c r="L16" s="25">
        <v>43620</v>
      </c>
      <c r="M16" s="25">
        <v>43644</v>
      </c>
      <c r="N16" s="24">
        <v>302</v>
      </c>
      <c r="O16" s="30" t="s">
        <v>191</v>
      </c>
    </row>
    <row r="17" spans="2:15" x14ac:dyDescent="0.15">
      <c r="B17">
        <f t="shared" si="0"/>
        <v>0</v>
      </c>
      <c r="C17" s="24" t="s">
        <v>73</v>
      </c>
      <c r="D17" s="25">
        <v>43277</v>
      </c>
      <c r="E17" s="24"/>
      <c r="F17" s="24">
        <v>672</v>
      </c>
      <c r="G17" s="24"/>
      <c r="H17" s="24"/>
      <c r="J17">
        <f t="shared" si="2"/>
        <v>0</v>
      </c>
      <c r="K17" s="24" t="s">
        <v>73</v>
      </c>
      <c r="L17" s="25">
        <v>43630</v>
      </c>
      <c r="M17" s="25">
        <v>43644</v>
      </c>
      <c r="N17" s="24">
        <v>134</v>
      </c>
      <c r="O17" s="30" t="s">
        <v>198</v>
      </c>
    </row>
    <row r="18" spans="2:15" x14ac:dyDescent="0.15">
      <c r="B18">
        <f t="shared" si="0"/>
        <v>0</v>
      </c>
      <c r="C18" s="24" t="s">
        <v>73</v>
      </c>
      <c r="D18" s="25">
        <v>43288</v>
      </c>
      <c r="E18" s="24"/>
      <c r="F18" s="24">
        <v>327</v>
      </c>
      <c r="G18" s="24"/>
      <c r="H18" s="24"/>
      <c r="J18">
        <f t="shared" si="2"/>
        <v>0</v>
      </c>
      <c r="K18" s="24" t="s">
        <v>73</v>
      </c>
      <c r="L18" s="25">
        <v>43637</v>
      </c>
      <c r="M18" s="25">
        <v>43682</v>
      </c>
      <c r="N18" s="24">
        <v>145</v>
      </c>
      <c r="O18" s="30" t="s">
        <v>204</v>
      </c>
    </row>
    <row r="19" spans="2:15" x14ac:dyDescent="0.15">
      <c r="B19">
        <f t="shared" si="0"/>
        <v>0</v>
      </c>
      <c r="C19" s="24" t="s">
        <v>73</v>
      </c>
      <c r="D19" s="25">
        <v>43357</v>
      </c>
      <c r="E19" s="24"/>
      <c r="F19" s="24">
        <v>1202</v>
      </c>
      <c r="G19" s="24"/>
      <c r="H19" s="25">
        <v>43389</v>
      </c>
      <c r="J19">
        <f t="shared" si="2"/>
        <v>0</v>
      </c>
      <c r="K19" s="24" t="s">
        <v>73</v>
      </c>
      <c r="L19" s="25">
        <v>43682</v>
      </c>
      <c r="M19" s="25">
        <v>43704</v>
      </c>
      <c r="N19" s="24">
        <v>80</v>
      </c>
      <c r="O19" s="24"/>
    </row>
    <row r="20" spans="2:15" x14ac:dyDescent="0.15">
      <c r="B20">
        <f t="shared" si="0"/>
        <v>0</v>
      </c>
      <c r="C20" s="24" t="s">
        <v>73</v>
      </c>
      <c r="D20" s="25">
        <v>43357</v>
      </c>
      <c r="E20" s="24"/>
      <c r="F20" s="24">
        <v>834</v>
      </c>
      <c r="G20" s="24"/>
      <c r="H20" s="24"/>
      <c r="J20">
        <f t="shared" si="2"/>
        <v>0</v>
      </c>
      <c r="K20" s="24" t="s">
        <v>73</v>
      </c>
      <c r="L20" s="25">
        <v>43801</v>
      </c>
      <c r="M20" s="25">
        <v>43824</v>
      </c>
      <c r="N20" s="24">
        <v>281</v>
      </c>
      <c r="O20" s="30" t="s">
        <v>243</v>
      </c>
    </row>
    <row r="21" spans="2:15" x14ac:dyDescent="0.15">
      <c r="B21">
        <f t="shared" si="0"/>
        <v>0</v>
      </c>
      <c r="C21" s="24" t="s">
        <v>73</v>
      </c>
      <c r="D21" s="25">
        <v>43363</v>
      </c>
      <c r="E21" s="24"/>
      <c r="F21" s="24">
        <v>979</v>
      </c>
      <c r="G21" s="24"/>
      <c r="H21" s="24"/>
      <c r="J21">
        <f t="shared" si="2"/>
        <v>0</v>
      </c>
      <c r="K21" s="24" t="s">
        <v>73</v>
      </c>
      <c r="L21" s="25">
        <v>43816</v>
      </c>
      <c r="M21" s="25">
        <v>43824</v>
      </c>
      <c r="N21" s="24">
        <v>31</v>
      </c>
      <c r="O21" s="37"/>
    </row>
    <row r="22" spans="2:15" x14ac:dyDescent="0.15">
      <c r="B22">
        <f t="shared" si="0"/>
        <v>0</v>
      </c>
      <c r="C22" s="24" t="s">
        <v>73</v>
      </c>
      <c r="D22" s="25">
        <v>43389</v>
      </c>
      <c r="E22" s="24"/>
      <c r="F22" s="24">
        <f>144+33</f>
        <v>177</v>
      </c>
      <c r="G22" s="24"/>
      <c r="H22" s="24" t="s">
        <v>119</v>
      </c>
    </row>
    <row r="23" spans="2:15" x14ac:dyDescent="0.15">
      <c r="B23">
        <f t="shared" si="0"/>
        <v>0</v>
      </c>
      <c r="C23" s="24" t="s">
        <v>73</v>
      </c>
      <c r="D23" s="25">
        <v>43404</v>
      </c>
      <c r="E23" s="24"/>
      <c r="F23" s="24">
        <v>152</v>
      </c>
      <c r="G23" s="24"/>
      <c r="H23" s="24"/>
    </row>
    <row r="24" spans="2:15" x14ac:dyDescent="0.15">
      <c r="B24">
        <f t="shared" si="0"/>
        <v>0</v>
      </c>
      <c r="C24" s="24" t="s">
        <v>73</v>
      </c>
      <c r="D24" s="25">
        <v>43404</v>
      </c>
      <c r="E24" s="24"/>
      <c r="F24" s="24">
        <v>859.5</v>
      </c>
      <c r="G24" s="24"/>
      <c r="H24" s="25">
        <v>43425</v>
      </c>
    </row>
    <row r="25" spans="2:15" x14ac:dyDescent="0.15">
      <c r="B25">
        <f t="shared" si="0"/>
        <v>0</v>
      </c>
      <c r="C25" s="24" t="s">
        <v>73</v>
      </c>
      <c r="D25" s="25">
        <v>43423</v>
      </c>
      <c r="E25" s="24"/>
      <c r="F25" s="24">
        <v>3139</v>
      </c>
      <c r="G25" s="24"/>
      <c r="H25" s="24" t="s">
        <v>144</v>
      </c>
    </row>
    <row r="26" spans="2:15" x14ac:dyDescent="0.15">
      <c r="B26">
        <f t="shared" si="0"/>
        <v>0</v>
      </c>
      <c r="C26" s="24" t="s">
        <v>73</v>
      </c>
      <c r="D26" s="25">
        <v>43433</v>
      </c>
      <c r="E26" s="24"/>
      <c r="F26" s="24">
        <v>1080</v>
      </c>
      <c r="G26" s="24"/>
      <c r="H26" s="25">
        <v>43486</v>
      </c>
    </row>
    <row r="27" spans="2:15" x14ac:dyDescent="0.15">
      <c r="B27">
        <f t="shared" si="0"/>
        <v>0</v>
      </c>
      <c r="C27" s="24" t="s">
        <v>73</v>
      </c>
      <c r="D27" s="25">
        <v>43495</v>
      </c>
      <c r="E27" s="24"/>
      <c r="F27" s="24">
        <v>2305</v>
      </c>
      <c r="G27" s="24"/>
      <c r="H27" s="24"/>
    </row>
    <row r="28" spans="2:15" x14ac:dyDescent="0.15">
      <c r="B28">
        <f t="shared" si="0"/>
        <v>0</v>
      </c>
      <c r="C28" s="24" t="s">
        <v>73</v>
      </c>
      <c r="D28" s="25">
        <v>43505</v>
      </c>
      <c r="E28" s="24"/>
      <c r="F28" s="24">
        <v>447.8</v>
      </c>
      <c r="G28" s="24"/>
      <c r="H28" s="24" t="s">
        <v>149</v>
      </c>
    </row>
    <row r="29" spans="2:15" x14ac:dyDescent="0.15">
      <c r="B29">
        <f t="shared" si="0"/>
        <v>0</v>
      </c>
      <c r="C29" s="24" t="s">
        <v>73</v>
      </c>
      <c r="D29" s="25">
        <v>43595</v>
      </c>
      <c r="E29" s="24"/>
      <c r="F29" s="24">
        <v>793.8</v>
      </c>
      <c r="G29" s="24"/>
      <c r="H29" s="30" t="s">
        <v>182</v>
      </c>
    </row>
    <row r="30" spans="2:15" x14ac:dyDescent="0.15">
      <c r="B30">
        <f t="shared" si="0"/>
        <v>0</v>
      </c>
      <c r="C30" s="24" t="s">
        <v>73</v>
      </c>
      <c r="D30" s="25">
        <v>43615</v>
      </c>
      <c r="E30" s="25">
        <v>43644</v>
      </c>
      <c r="F30" s="24">
        <v>581</v>
      </c>
      <c r="G30" s="24"/>
      <c r="H30" s="30" t="s">
        <v>184</v>
      </c>
    </row>
    <row r="31" spans="2:15" x14ac:dyDescent="0.15">
      <c r="B31">
        <f t="shared" si="0"/>
        <v>0</v>
      </c>
      <c r="C31" s="24" t="s">
        <v>73</v>
      </c>
      <c r="D31" s="25">
        <v>43615</v>
      </c>
      <c r="E31" s="25">
        <v>43644</v>
      </c>
      <c r="F31" s="24">
        <v>646</v>
      </c>
      <c r="G31" s="24"/>
      <c r="H31" s="30" t="s">
        <v>188</v>
      </c>
    </row>
    <row r="32" spans="2:15" x14ac:dyDescent="0.15">
      <c r="B32">
        <f t="shared" si="0"/>
        <v>0</v>
      </c>
      <c r="C32" s="24" t="s">
        <v>73</v>
      </c>
      <c r="D32" s="25">
        <v>43627</v>
      </c>
      <c r="E32" s="25">
        <v>43644</v>
      </c>
      <c r="F32" s="24">
        <v>627</v>
      </c>
      <c r="G32" s="24"/>
      <c r="H32" s="30" t="s">
        <v>197</v>
      </c>
    </row>
    <row r="33" spans="2:8" x14ac:dyDescent="0.15">
      <c r="B33">
        <f t="shared" si="0"/>
        <v>0</v>
      </c>
      <c r="C33" s="24" t="s">
        <v>73</v>
      </c>
      <c r="D33" s="25">
        <v>43629</v>
      </c>
      <c r="E33" s="25">
        <v>43644</v>
      </c>
      <c r="F33" s="24">
        <v>1114</v>
      </c>
      <c r="G33" s="24"/>
      <c r="H33" s="30" t="s">
        <v>199</v>
      </c>
    </row>
    <row r="34" spans="2:8" x14ac:dyDescent="0.15">
      <c r="B34">
        <f t="shared" si="0"/>
        <v>0</v>
      </c>
      <c r="C34" s="24" t="s">
        <v>73</v>
      </c>
      <c r="D34" s="25">
        <v>43635</v>
      </c>
      <c r="E34" s="25">
        <v>43644</v>
      </c>
      <c r="F34" s="24">
        <v>727</v>
      </c>
      <c r="G34" s="24"/>
      <c r="H34" s="30" t="s">
        <v>201</v>
      </c>
    </row>
    <row r="35" spans="2:8" x14ac:dyDescent="0.15">
      <c r="B35">
        <f t="shared" si="0"/>
        <v>0</v>
      </c>
      <c r="C35" s="24" t="s">
        <v>73</v>
      </c>
      <c r="D35" s="25">
        <v>43643</v>
      </c>
      <c r="E35" s="25">
        <v>43682</v>
      </c>
      <c r="F35" s="24">
        <v>682.3</v>
      </c>
      <c r="G35" s="24"/>
      <c r="H35" s="30" t="s">
        <v>208</v>
      </c>
    </row>
    <row r="36" spans="2:8" x14ac:dyDescent="0.15">
      <c r="B36">
        <f t="shared" si="0"/>
        <v>0</v>
      </c>
      <c r="C36" s="24" t="s">
        <v>73</v>
      </c>
      <c r="D36" s="25">
        <v>43686</v>
      </c>
      <c r="E36" s="25">
        <v>43704</v>
      </c>
      <c r="F36" s="24">
        <v>1658</v>
      </c>
      <c r="G36" s="24"/>
      <c r="H36" s="30" t="s">
        <v>214</v>
      </c>
    </row>
    <row r="37" spans="2:8" x14ac:dyDescent="0.15">
      <c r="B37">
        <f t="shared" si="0"/>
        <v>0</v>
      </c>
      <c r="C37" s="24" t="s">
        <v>73</v>
      </c>
      <c r="D37" s="25">
        <v>43703</v>
      </c>
      <c r="E37" s="24"/>
      <c r="F37" s="24">
        <v>483</v>
      </c>
      <c r="G37" s="24"/>
      <c r="H37" s="30" t="s">
        <v>217</v>
      </c>
    </row>
    <row r="38" spans="2:8" x14ac:dyDescent="0.15">
      <c r="B38">
        <f t="shared" si="0"/>
        <v>0</v>
      </c>
      <c r="C38" s="24" t="s">
        <v>73</v>
      </c>
      <c r="D38" s="25">
        <v>43790</v>
      </c>
      <c r="E38" s="25">
        <v>43824</v>
      </c>
      <c r="F38" s="24">
        <v>1008</v>
      </c>
      <c r="G38" s="24"/>
      <c r="H38" s="30" t="s">
        <v>256</v>
      </c>
    </row>
    <row r="39" spans="2:8" x14ac:dyDescent="0.15">
      <c r="B39">
        <f t="shared" si="0"/>
        <v>0</v>
      </c>
      <c r="C39" s="24" t="s">
        <v>73</v>
      </c>
      <c r="D39" s="25">
        <v>43802</v>
      </c>
      <c r="E39" s="25">
        <v>43824</v>
      </c>
      <c r="F39" s="24">
        <v>1162.4000000000001</v>
      </c>
      <c r="G39" s="24"/>
      <c r="H39" s="30" t="s">
        <v>244</v>
      </c>
    </row>
    <row r="40" spans="2:8" x14ac:dyDescent="0.15">
      <c r="B40">
        <f t="shared" si="0"/>
        <v>0</v>
      </c>
      <c r="C40" s="24" t="s">
        <v>73</v>
      </c>
      <c r="D40" s="25">
        <v>43802</v>
      </c>
      <c r="E40" s="25">
        <v>43824</v>
      </c>
      <c r="F40" s="24">
        <v>907.9</v>
      </c>
      <c r="G40" s="24"/>
      <c r="H40" s="30" t="s">
        <v>247</v>
      </c>
    </row>
    <row r="41" spans="2:8" x14ac:dyDescent="0.15">
      <c r="B41">
        <f t="shared" si="0"/>
        <v>0</v>
      </c>
      <c r="C41" s="24" t="s">
        <v>73</v>
      </c>
      <c r="D41" s="25">
        <v>43802</v>
      </c>
      <c r="E41" s="25">
        <v>43824</v>
      </c>
      <c r="F41" s="24">
        <v>826</v>
      </c>
      <c r="G41" s="24"/>
      <c r="H41" s="30" t="s">
        <v>248</v>
      </c>
    </row>
    <row r="42" spans="2:8" x14ac:dyDescent="0.15">
      <c r="B42">
        <f t="shared" si="0"/>
        <v>0</v>
      </c>
      <c r="C42" s="24" t="s">
        <v>73</v>
      </c>
      <c r="D42" s="25">
        <v>43813</v>
      </c>
      <c r="E42" s="25">
        <v>43824</v>
      </c>
      <c r="F42" s="24">
        <v>1005.4</v>
      </c>
      <c r="G42" s="24"/>
      <c r="H42" s="30" t="s">
        <v>257</v>
      </c>
    </row>
    <row r="43" spans="2:8" x14ac:dyDescent="0.15">
      <c r="B43">
        <f t="shared" si="0"/>
        <v>0</v>
      </c>
      <c r="C43" s="24" t="s">
        <v>73</v>
      </c>
      <c r="D43" s="25">
        <v>43816</v>
      </c>
      <c r="E43" s="25">
        <v>43824</v>
      </c>
      <c r="F43" s="24">
        <v>28</v>
      </c>
      <c r="G43" s="24"/>
      <c r="H43" s="37"/>
    </row>
    <row r="44" spans="2:8" x14ac:dyDescent="0.15">
      <c r="B44">
        <f t="shared" si="0"/>
        <v>0</v>
      </c>
      <c r="C44" s="24" t="s">
        <v>73</v>
      </c>
      <c r="D44" s="25">
        <v>43922</v>
      </c>
      <c r="E44" s="25">
        <v>43935</v>
      </c>
      <c r="F44" s="24">
        <v>448</v>
      </c>
      <c r="G44" s="24"/>
      <c r="H44" s="30" t="s">
        <v>275</v>
      </c>
    </row>
  </sheetData>
  <mergeCells count="3">
    <mergeCell ref="C5:H5"/>
    <mergeCell ref="K5:O5"/>
    <mergeCell ref="R5:U5"/>
  </mergeCells>
  <phoneticPr fontId="1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4"/>
  <sheetViews>
    <sheetView workbookViewId="0">
      <selection activeCell="F24" sqref="F24"/>
    </sheetView>
  </sheetViews>
  <sheetFormatPr defaultRowHeight="13.5" x14ac:dyDescent="0.15"/>
  <cols>
    <col min="2" max="2" width="10.5" bestFit="1" customWidth="1"/>
  </cols>
  <sheetData>
    <row r="3" spans="2:5" x14ac:dyDescent="0.15">
      <c r="B3" s="29" t="s">
        <v>153</v>
      </c>
      <c r="C3" s="29" t="s">
        <v>154</v>
      </c>
      <c r="D3" s="29" t="s">
        <v>157</v>
      </c>
      <c r="E3" s="29" t="s">
        <v>155</v>
      </c>
    </row>
    <row r="4" spans="2:5" x14ac:dyDescent="0.15">
      <c r="B4" s="27">
        <v>43487</v>
      </c>
      <c r="C4" s="26">
        <v>141</v>
      </c>
      <c r="D4" s="26">
        <v>41253</v>
      </c>
      <c r="E4" s="26" t="s">
        <v>156</v>
      </c>
    </row>
    <row r="5" spans="2:5" x14ac:dyDescent="0.15">
      <c r="B5" s="25">
        <v>43519</v>
      </c>
      <c r="C5" s="24">
        <v>888</v>
      </c>
      <c r="D5" s="24">
        <v>27235</v>
      </c>
      <c r="E5" s="24" t="s">
        <v>158</v>
      </c>
    </row>
    <row r="6" spans="2:5" x14ac:dyDescent="0.15">
      <c r="B6" s="28">
        <v>43529</v>
      </c>
      <c r="C6" s="22">
        <v>18</v>
      </c>
      <c r="D6" s="22">
        <v>70048</v>
      </c>
      <c r="E6" s="22" t="s">
        <v>156</v>
      </c>
    </row>
    <row r="7" spans="2:5" x14ac:dyDescent="0.15">
      <c r="B7" s="25">
        <v>43531</v>
      </c>
      <c r="C7" s="24">
        <v>76.5</v>
      </c>
      <c r="D7" s="24">
        <v>39452</v>
      </c>
      <c r="E7" s="24" t="s">
        <v>158</v>
      </c>
    </row>
    <row r="8" spans="2:5" x14ac:dyDescent="0.15">
      <c r="B8" s="25">
        <v>43537</v>
      </c>
      <c r="C8" s="24">
        <v>60</v>
      </c>
      <c r="D8" s="24">
        <v>30016</v>
      </c>
      <c r="E8" s="24" t="s">
        <v>158</v>
      </c>
    </row>
    <row r="9" spans="2:5" x14ac:dyDescent="0.15">
      <c r="B9" s="25">
        <v>43537</v>
      </c>
      <c r="C9" s="24">
        <v>60</v>
      </c>
      <c r="D9" s="24">
        <v>80921</v>
      </c>
      <c r="E9" s="24" t="s">
        <v>158</v>
      </c>
    </row>
    <row r="10" spans="2:5" x14ac:dyDescent="0.15">
      <c r="B10" s="25">
        <v>43540</v>
      </c>
      <c r="C10" s="24">
        <v>1552</v>
      </c>
      <c r="D10" s="24">
        <v>14288</v>
      </c>
      <c r="E10" s="24" t="s">
        <v>158</v>
      </c>
    </row>
    <row r="11" spans="2:5" x14ac:dyDescent="0.15">
      <c r="B11" s="25">
        <v>43526</v>
      </c>
      <c r="C11" s="24">
        <v>64</v>
      </c>
      <c r="D11" s="24">
        <v>35209</v>
      </c>
      <c r="E11" s="24" t="s">
        <v>158</v>
      </c>
    </row>
    <row r="12" spans="2:5" x14ac:dyDescent="0.15">
      <c r="B12" s="25">
        <v>43550</v>
      </c>
      <c r="C12" s="24">
        <v>60</v>
      </c>
      <c r="D12" s="24">
        <v>24840</v>
      </c>
      <c r="E12" s="24" t="s">
        <v>158</v>
      </c>
    </row>
    <row r="13" spans="2:5" x14ac:dyDescent="0.15">
      <c r="B13" s="25">
        <v>43550</v>
      </c>
      <c r="C13" s="24">
        <v>60</v>
      </c>
      <c r="D13" s="24">
        <v>47712</v>
      </c>
      <c r="E13" s="24" t="s">
        <v>158</v>
      </c>
    </row>
    <row r="14" spans="2:5" x14ac:dyDescent="0.15">
      <c r="B14" s="28">
        <v>43551</v>
      </c>
      <c r="C14" s="26">
        <v>60</v>
      </c>
      <c r="D14" s="26">
        <v>71632</v>
      </c>
      <c r="E14" s="22" t="s">
        <v>156</v>
      </c>
    </row>
    <row r="15" spans="2:5" x14ac:dyDescent="0.15">
      <c r="B15" s="28">
        <v>43551</v>
      </c>
      <c r="C15" s="26">
        <v>60</v>
      </c>
      <c r="D15" s="26">
        <v>84333</v>
      </c>
      <c r="E15" s="22" t="s">
        <v>156</v>
      </c>
    </row>
    <row r="16" spans="2:5" x14ac:dyDescent="0.15">
      <c r="B16" s="28">
        <v>43552</v>
      </c>
      <c r="C16" s="26">
        <v>60</v>
      </c>
      <c r="D16" s="26">
        <v>25850</v>
      </c>
      <c r="E16" s="22" t="s">
        <v>156</v>
      </c>
    </row>
    <row r="17" spans="2:5" x14ac:dyDescent="0.15">
      <c r="B17" s="28">
        <v>43552</v>
      </c>
      <c r="C17" s="26">
        <v>60</v>
      </c>
      <c r="D17" s="26">
        <v>6481</v>
      </c>
      <c r="E17" s="22" t="s">
        <v>156</v>
      </c>
    </row>
    <row r="18" spans="2:5" x14ac:dyDescent="0.15">
      <c r="B18" s="28">
        <v>43553</v>
      </c>
      <c r="C18" s="26">
        <v>60</v>
      </c>
      <c r="D18" s="26">
        <v>40159</v>
      </c>
      <c r="E18" s="22" t="s">
        <v>156</v>
      </c>
    </row>
    <row r="19" spans="2:5" x14ac:dyDescent="0.15">
      <c r="B19" s="28">
        <v>43553</v>
      </c>
      <c r="C19" s="26">
        <v>60</v>
      </c>
      <c r="D19" s="26">
        <v>58997</v>
      </c>
      <c r="E19" s="22" t="s">
        <v>156</v>
      </c>
    </row>
    <row r="20" spans="2:5" x14ac:dyDescent="0.15">
      <c r="B20" s="28">
        <v>43554</v>
      </c>
      <c r="C20" s="26">
        <v>60</v>
      </c>
      <c r="D20" s="26">
        <v>22179</v>
      </c>
      <c r="E20" s="22" t="s">
        <v>156</v>
      </c>
    </row>
    <row r="21" spans="2:5" x14ac:dyDescent="0.15">
      <c r="B21" s="28">
        <v>43557</v>
      </c>
      <c r="C21" s="26">
        <v>887</v>
      </c>
      <c r="D21" s="26">
        <v>38829</v>
      </c>
      <c r="E21" s="22" t="s">
        <v>156</v>
      </c>
    </row>
    <row r="22" spans="2:5" x14ac:dyDescent="0.15">
      <c r="B22" s="28">
        <v>43558</v>
      </c>
      <c r="C22" s="26">
        <v>62</v>
      </c>
      <c r="D22" s="26">
        <v>69674</v>
      </c>
      <c r="E22" s="22" t="s">
        <v>156</v>
      </c>
    </row>
    <row r="23" spans="2:5" x14ac:dyDescent="0.15">
      <c r="B23" s="28">
        <v>43558</v>
      </c>
      <c r="C23" s="26">
        <v>29.8</v>
      </c>
      <c r="D23" s="26">
        <v>51208</v>
      </c>
      <c r="E23" s="22" t="s">
        <v>156</v>
      </c>
    </row>
    <row r="24" spans="2:5" x14ac:dyDescent="0.15">
      <c r="B24" s="28">
        <v>43561</v>
      </c>
      <c r="C24" s="26">
        <v>80</v>
      </c>
      <c r="D24" s="26">
        <v>53309</v>
      </c>
      <c r="E24" s="22" t="s">
        <v>156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43</vt:i4>
      </vt:variant>
    </vt:vector>
  </HeadingPairs>
  <TitlesOfParts>
    <vt:vector size="43" baseType="lpstr">
      <vt:lpstr>精算データ</vt:lpstr>
      <vt:lpstr>202012</vt:lpstr>
      <vt:lpstr>202011</vt:lpstr>
      <vt:lpstr>202010</vt:lpstr>
      <vt:lpstr>202009</vt:lpstr>
      <vt:lpstr>202008</vt:lpstr>
      <vt:lpstr>202007</vt:lpstr>
      <vt:lpstr>202006</vt:lpstr>
      <vt:lpstr>202005</vt:lpstr>
      <vt:lpstr>202004</vt:lpstr>
      <vt:lpstr>202003</vt:lpstr>
      <vt:lpstr>202002</vt:lpstr>
      <vt:lpstr>202001</vt:lpstr>
      <vt:lpstr>201912</vt:lpstr>
      <vt:lpstr>201911</vt:lpstr>
      <vt:lpstr>201910</vt:lpstr>
      <vt:lpstr>201909</vt:lpstr>
      <vt:lpstr>201908</vt:lpstr>
      <vt:lpstr>201906</vt:lpstr>
      <vt:lpstr>201905</vt:lpstr>
      <vt:lpstr>201904</vt:lpstr>
      <vt:lpstr>201903</vt:lpstr>
      <vt:lpstr>201902</vt:lpstr>
      <vt:lpstr>201901</vt:lpstr>
      <vt:lpstr>201812</vt:lpstr>
      <vt:lpstr>201811</vt:lpstr>
      <vt:lpstr>201810</vt:lpstr>
      <vt:lpstr>201809</vt:lpstr>
      <vt:lpstr>201808</vt:lpstr>
      <vt:lpstr>201807</vt:lpstr>
      <vt:lpstr>201806</vt:lpstr>
      <vt:lpstr>201805</vt:lpstr>
      <vt:lpstr>201804</vt:lpstr>
      <vt:lpstr>201803</vt:lpstr>
      <vt:lpstr>201802</vt:lpstr>
      <vt:lpstr>201801</vt:lpstr>
      <vt:lpstr>201712</vt:lpstr>
      <vt:lpstr>201711</vt:lpstr>
      <vt:lpstr>201710</vt:lpstr>
      <vt:lpstr>201709</vt:lpstr>
      <vt:lpstr>201708</vt:lpstr>
      <vt:lpstr>报销</vt:lpstr>
      <vt:lpstr>发票管理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2020-12-04T08:47:34Z</dcterms:modified>
</cp:coreProperties>
</file>